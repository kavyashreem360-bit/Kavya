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Kavya\OneDrive\Documents\"/>
    </mc:Choice>
  </mc:AlternateContent>
  <xr:revisionPtr revIDLastSave="17" documentId="113_{5BFB3D50-9A57-433F-8199-6C4E6BA01DF9}" xr6:coauthVersionLast="36" xr6:coauthVersionMax="36" xr10:uidLastSave="{FC32D17B-76A5-4C45-B8DF-A9FDC110FF3B}"/>
  <bookViews>
    <workbookView xWindow="0" yWindow="0" windowWidth="20490" windowHeight="7545" activeTab="1" xr2:uid="{A39D86A1-963C-4207-AB24-CD2E4F9F9AFB}"/>
  </bookViews>
  <sheets>
    <sheet name="Sheet1" sheetId="3" r:id="rId1"/>
    <sheet name="Sheet2" sheetId="2" r:id="rId2"/>
  </sheets>
  <definedNames>
    <definedName name="Slicer_ORDER_D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0" i="2" l="1"/>
  <c r="M19" i="2"/>
  <c r="M18" i="2"/>
  <c r="M14" i="2" l="1"/>
  <c r="M13" i="2"/>
  <c r="M12" i="2"/>
  <c r="M11" i="2"/>
  <c r="M10" i="2"/>
  <c r="F626" i="2" l="1"/>
  <c r="G626" i="2"/>
  <c r="L16" i="2"/>
  <c r="L13" i="2"/>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2" i="2"/>
</calcChain>
</file>

<file path=xl/sharedStrings.xml><?xml version="1.0" encoding="utf-8"?>
<sst xmlns="http://schemas.openxmlformats.org/spreadsheetml/2006/main" count="2558" uniqueCount="1563">
  <si>
    <t>ORDER ID</t>
  </si>
  <si>
    <t>ORDER DATE</t>
  </si>
  <si>
    <t>ITEM NAME</t>
  </si>
  <si>
    <t>PRODUCT SEGMENT</t>
  </si>
  <si>
    <t>MRP/PACK NAME</t>
  </si>
  <si>
    <t>QTY</t>
  </si>
  <si>
    <t>AMOUNT</t>
  </si>
  <si>
    <t>MANUFACTURER NAME</t>
  </si>
  <si>
    <t>A TO Z NS PLUS TAB</t>
  </si>
  <si>
    <t>A TO Z NS SYP 200ML</t>
  </si>
  <si>
    <t>ABD PLUS TAB</t>
  </si>
  <si>
    <t>ABEL CT 40MG 10TAB</t>
  </si>
  <si>
    <t>ABHAYRAB VACCINE</t>
  </si>
  <si>
    <t>ABHAYTOX 0.5ML TETANUS</t>
  </si>
  <si>
    <t>ABZORB DUSTING POWDER 120GM</t>
  </si>
  <si>
    <t>ACCECLOWOC MR TAB</t>
  </si>
  <si>
    <t>ACCECLOWOC P TAB</t>
  </si>
  <si>
    <t>ACCECLOWOC SP TAB</t>
  </si>
  <si>
    <t>ACEFLAM P TAB</t>
  </si>
  <si>
    <t>ACELOFLAM SP TAB</t>
  </si>
  <si>
    <t>ACEROC SP TAB</t>
  </si>
  <si>
    <t>ACNE OC MOISTURIZER 75</t>
  </si>
  <si>
    <t>ACNESTAR GEL 22GM</t>
  </si>
  <si>
    <t>ACNESTAR SOAP</t>
  </si>
  <si>
    <t>ACUTRET 5MG CAP</t>
  </si>
  <si>
    <t>ADAPLE C GEL</t>
  </si>
  <si>
    <t>ADIAZI 500MG TAB</t>
  </si>
  <si>
    <t>AERO MIST ADULT MAST</t>
  </si>
  <si>
    <t>AEROMIST ADULET MASK</t>
  </si>
  <si>
    <t>AHAGLOW FACE WASH 100GM</t>
  </si>
  <si>
    <t>AHAGLOW S FACE WASH 100ML</t>
  </si>
  <si>
    <t>ALBOMAR SYP 500ML</t>
  </si>
  <si>
    <t>ALDONIL PLUS TAB</t>
  </si>
  <si>
    <t>ALERID TAB</t>
  </si>
  <si>
    <t>ALKOF DX COUGH SYP</t>
  </si>
  <si>
    <t>ALKOF LS JUNIOR COUGH SYP</t>
  </si>
  <si>
    <t>ALMOX 250MG CAP 15'S</t>
  </si>
  <si>
    <t>ALMOX 500MG CAP</t>
  </si>
  <si>
    <t>ALMOX 500MG CAP 15'S</t>
  </si>
  <si>
    <t>ALTHROCIN 250MG TAB</t>
  </si>
  <si>
    <t>AMLOKIND AT TAB</t>
  </si>
  <si>
    <t>AMLONG 10MG TAB</t>
  </si>
  <si>
    <t>AMLONG 5MG TAB</t>
  </si>
  <si>
    <t>AMLONG TL 40MG TAB</t>
  </si>
  <si>
    <t>AMOXYCLAV 375MG TAB 10'S</t>
  </si>
  <si>
    <t>AMOXYCLAV 625MG TAB</t>
  </si>
  <si>
    <t>AMRITH NONI D PLUS</t>
  </si>
  <si>
    <t>AMRUTANJAN BACK PAIN ROLL ON</t>
  </si>
  <si>
    <t>AMRUTANJAN BALM 25GM</t>
  </si>
  <si>
    <t>AMRUTANJAN BALM 45GM</t>
  </si>
  <si>
    <t>AMRUTANJAN INHALER</t>
  </si>
  <si>
    <t>AMRUTANJAN ROLL ON 10ML</t>
  </si>
  <si>
    <t>AMRUTANJAN STRONG 9GM</t>
  </si>
  <si>
    <t>ANABOOM PRO SERUM SERUM</t>
  </si>
  <si>
    <t>ANDROANAGEN TAB</t>
  </si>
  <si>
    <t>ANGISPAN TR 2.5MG CAP</t>
  </si>
  <si>
    <t>APEX VAPORIZER ALL IN ONE</t>
  </si>
  <si>
    <t>APRESOL 25 TAB</t>
  </si>
  <si>
    <t>APRESOL TAB</t>
  </si>
  <si>
    <t>ARISTOZYME SYP</t>
  </si>
  <si>
    <t>ARKAMIN TAB</t>
  </si>
  <si>
    <t>ARTIZONE S INJ 100ML</t>
  </si>
  <si>
    <t>ASCORIL + EXPT 120ML</t>
  </si>
  <si>
    <t>ASCORIL D + SYP</t>
  </si>
  <si>
    <t>ASCORIL LS + SYP</t>
  </si>
  <si>
    <t>ASCORIL LS EXPT</t>
  </si>
  <si>
    <t>ASTHAKIND EXPT 100ML</t>
  </si>
  <si>
    <t>ASTHALIN INHALER</t>
  </si>
  <si>
    <t>ASTHALIN RESPULES 2ML</t>
  </si>
  <si>
    <t>ASTHALIN ROTACAPS</t>
  </si>
  <si>
    <t>ATARAX 10MG TAB</t>
  </si>
  <si>
    <t>ATARAX 25MG TAB</t>
  </si>
  <si>
    <t>ATORLIP 10MG TAB</t>
  </si>
  <si>
    <t>ATORVA 5MG TAB</t>
  </si>
  <si>
    <t>AUGMED 625MG TAB</t>
  </si>
  <si>
    <t>AUGMENTIN 625MG TAB</t>
  </si>
  <si>
    <t>AUGMENTIN DUO 625MG TAB</t>
  </si>
  <si>
    <t>AUGMENTIN DUO DRY SYP 30ML</t>
  </si>
  <si>
    <t>AVIL INJ AMP</t>
  </si>
  <si>
    <t>AXCER 90MG TAB</t>
  </si>
  <si>
    <t>AZINCURE 500MG TAB</t>
  </si>
  <si>
    <t>AZITHRAL 500MG TAB</t>
  </si>
  <si>
    <t>AZTOR ASP 75MG CAP</t>
  </si>
  <si>
    <t>BACTOCLAV 625MG TAB</t>
  </si>
  <si>
    <t>BAIDYANATH HONEY 200GM</t>
  </si>
  <si>
    <t>BAJAJ ALMOND DROPS 200ML</t>
  </si>
  <si>
    <t>BAJAJ ALMOND DROPS 300ML</t>
  </si>
  <si>
    <t>BANDAGE CLOTH 10CM X 10MT</t>
  </si>
  <si>
    <t>BANDAGE CLOTH 5CM X 10MT</t>
  </si>
  <si>
    <t>BANDY PLUS 12MG TAB</t>
  </si>
  <si>
    <t>BASUGINE 100IU CARTRIDGE</t>
  </si>
  <si>
    <t>BD 40IU SYRINGE 1ML</t>
  </si>
  <si>
    <t>BD ULTRA FINE III PEN NEEDLES SMALLEST EVER 4MM</t>
  </si>
  <si>
    <t>BECADEXAMIN CAP</t>
  </si>
  <si>
    <t>BECOSULES CAP</t>
  </si>
  <si>
    <t>BELLADONA PLASTER BDF</t>
  </si>
  <si>
    <t>BENADRYL COUGH FORMULA 150ML</t>
  </si>
  <si>
    <t>BETADINE 10% OINT 20GM</t>
  </si>
  <si>
    <t>BETADINE 10% SOLUTION 100ML</t>
  </si>
  <si>
    <t>BETADINE GARGLE BIG</t>
  </si>
  <si>
    <t>BETADINE OINT 250GM</t>
  </si>
  <si>
    <t>BETT AMPOULE OF 0.5ML SUSP FOR VACCINE</t>
  </si>
  <si>
    <t>BETT INJ 0.5ML</t>
  </si>
  <si>
    <t>BEVON SYP 200ML</t>
  </si>
  <si>
    <t>BILAFAV M TAB</t>
  </si>
  <si>
    <t>BILAGRA 20MG TAB</t>
  </si>
  <si>
    <t>BILAHASTA 20MG TAB</t>
  </si>
  <si>
    <t>BILAHASTA M</t>
  </si>
  <si>
    <t>BILASHINE 40MG TAB</t>
  </si>
  <si>
    <t>BILASURE M TAB</t>
  </si>
  <si>
    <t>BIOLINE HEAL AND SOOTHES CRACKED FEET GEL 25GM</t>
  </si>
  <si>
    <t>BIOVIT XT CAP</t>
  </si>
  <si>
    <t>BLUVIT CZ CHEW TAB</t>
  </si>
  <si>
    <t>BONMIN K2 TAB</t>
  </si>
  <si>
    <t>BORO PLUS ANTISEPTIC CREAM 80GM</t>
  </si>
  <si>
    <t>BORO PLUS CREAM 20GM</t>
  </si>
  <si>
    <t>BORO PLUS CREAM 40GM</t>
  </si>
  <si>
    <t>BOROLINE CREAM 20GM</t>
  </si>
  <si>
    <t>BRO ZEDEX SYP</t>
  </si>
  <si>
    <t>BROMHEXINE ELIXIR 100ML</t>
  </si>
  <si>
    <t>BROZEDEX 100ML SYP</t>
  </si>
  <si>
    <t>BRUFEN 200MG TAB</t>
  </si>
  <si>
    <t>BRUTAFLAM MR TAB</t>
  </si>
  <si>
    <t>BUDECORT 0.5MG RESPULES</t>
  </si>
  <si>
    <t>BURNHEAL CREAM</t>
  </si>
  <si>
    <t>CALAIDXT</t>
  </si>
  <si>
    <t>CALAPURE A LOTION 100ML</t>
  </si>
  <si>
    <t>CALCIJOINT D3 TAB</t>
  </si>
  <si>
    <t>CALOSOFT AF LOTION 100ML</t>
  </si>
  <si>
    <t>CALOSOFT PLUS LOTION 100ML</t>
  </si>
  <si>
    <t>CALPOL 500 + TAB</t>
  </si>
  <si>
    <t>CANDIBIOTIC PLUS EAR DROPS 5ML</t>
  </si>
  <si>
    <t>CANDID B CREAM 20GM</t>
  </si>
  <si>
    <t>CANDID CREAM 30GM</t>
  </si>
  <si>
    <t>CANDID DUSTING POWDER</t>
  </si>
  <si>
    <t>CANDID POWDER 100GM</t>
  </si>
  <si>
    <t>CANDIFORCE 100MG CAP 10'S</t>
  </si>
  <si>
    <t>CANDIFORCE 200MG CAP 10'S</t>
  </si>
  <si>
    <t>CEFLOX E/E DROPS</t>
  </si>
  <si>
    <t>CEFTUM 500MG TAB</t>
  </si>
  <si>
    <t>CETAPHIL BABY DAILY LOTION 400ML</t>
  </si>
  <si>
    <t>CETAPHIL CLEANSING &amp; MOISTURISING BAR</t>
  </si>
  <si>
    <t>CETAPHIL CLEANSING LOTION 250ML</t>
  </si>
  <si>
    <t>CETAPHIL GENTLE SENSITIVE SKIN CLEANSER 125ML</t>
  </si>
  <si>
    <t>CETAPHIL GENTLE SKIN CLEANSER LOTION 250ML</t>
  </si>
  <si>
    <t>CETAPHIL MOIST CREAM 80GM</t>
  </si>
  <si>
    <t>CETAPHIL OILY SKIN CLEANCER 250ML</t>
  </si>
  <si>
    <t>CETAPHIL OILY SKIN CLEANSER 125ML</t>
  </si>
  <si>
    <t>CETAPHIL SUN SPF 30 GEL</t>
  </si>
  <si>
    <t>CHESTON COLD TAB</t>
  </si>
  <si>
    <t>CHYMORAL FORTE TAB</t>
  </si>
  <si>
    <t>CIFRAN 500MG TAB</t>
  </si>
  <si>
    <t>CILACAR T 40MG TAB</t>
  </si>
  <si>
    <t>CILACAR 20MG TAB</t>
  </si>
  <si>
    <t>CILACAR M 10/50MG TAB</t>
  </si>
  <si>
    <t>CILICAD 5MG TAB</t>
  </si>
  <si>
    <t>CINTHOL ORIGINAL SOAP 100GM</t>
  </si>
  <si>
    <t>CINTHOL TALC LIME 100GM</t>
  </si>
  <si>
    <t>CIPCAL 500MG TAB</t>
  </si>
  <si>
    <t>CIPLADINE 5% OINT 125GM</t>
  </si>
  <si>
    <t>CIPLADINE 5% OINT 20GM</t>
  </si>
  <si>
    <t>CIPLADINE ANTISEP BANDAGE WASH</t>
  </si>
  <si>
    <t>CIPLADINE POWDER</t>
  </si>
  <si>
    <t>CIPLOX 250MG TAB</t>
  </si>
  <si>
    <t>CIPLOX E/E DROPS 10ML</t>
  </si>
  <si>
    <t>CIPRODAC 500MG TAB</t>
  </si>
  <si>
    <t>CIPZEN D TAB</t>
  </si>
  <si>
    <t>CITALIN FORTE TAB</t>
  </si>
  <si>
    <t>CLAVAM 625MG TAB</t>
  </si>
  <si>
    <t>CLAVEP 200 TAB</t>
  </si>
  <si>
    <t>CLEARGEL 20GM GEL</t>
  </si>
  <si>
    <t>CLEARGEL AP GEL</t>
  </si>
  <si>
    <t>CLEARWAX EAR DROPS</t>
  </si>
  <si>
    <t>CLENSTA PLUS NATURE SHAMPOO 400ML</t>
  </si>
  <si>
    <t>CLINSOL GEL</t>
  </si>
  <si>
    <t>CLOBEN G CREAM 15GM</t>
  </si>
  <si>
    <t>CLOBETA GM CREAM 20GM</t>
  </si>
  <si>
    <t>CLOHEX ADS MOUTH WASH</t>
  </si>
  <si>
    <t>CLOVE OIL 5ML</t>
  </si>
  <si>
    <t>CLOZOB POWDER</t>
  </si>
  <si>
    <t>COBADEX CZS TAB</t>
  </si>
  <si>
    <t>COFSILS BLISTER JAR</t>
  </si>
  <si>
    <t>COFSILS GINGER LEMON LOZENGES</t>
  </si>
  <si>
    <t>COFSILS ORANGE LOZENGES</t>
  </si>
  <si>
    <t>COFSILS SYP</t>
  </si>
  <si>
    <t>COGNISART H TAB</t>
  </si>
  <si>
    <t>COLGATE MAX BLUE GEL 150GM</t>
  </si>
  <si>
    <t>COLGATE MAXFRESH RED SPICY TOOTH PASTE 220GM</t>
  </si>
  <si>
    <t>COLGATE PLAX FRESH TEA MOUTH WASH 250ML</t>
  </si>
  <si>
    <t>COLGATE SLIM SOFT SENSITIVE BRUSH 1PCS</t>
  </si>
  <si>
    <t>COLGATE TOTAL 12 TOOTH PASTE 150GM</t>
  </si>
  <si>
    <t>COLGATE TOTAL CHARCOAL TOOTH PASTE 120GM</t>
  </si>
  <si>
    <t>COLGATE VISIBLE TOOTH PASTE</t>
  </si>
  <si>
    <t>COLGATE VISIBLE TOOTH PASTE 50GM</t>
  </si>
  <si>
    <t>COLONISE FORTE CAP</t>
  </si>
  <si>
    <t>COMBIFLAM TAB</t>
  </si>
  <si>
    <t>CONCOR 5MG TAB</t>
  </si>
  <si>
    <t>CONCOR COR 1.25MG TAB</t>
  </si>
  <si>
    <t>CORN CAPS</t>
  </si>
  <si>
    <t>COTTON BANDAGE 10CM X 5M</t>
  </si>
  <si>
    <t>COTTON WOOL 15GM</t>
  </si>
  <si>
    <t>COTTON WOOL 30GM</t>
  </si>
  <si>
    <t>COTTON WOOL 60GM</t>
  </si>
  <si>
    <t>COVERSYL 4MG TAB</t>
  </si>
  <si>
    <t>CRACK HEAL 25GM CREAM</t>
  </si>
  <si>
    <t>CREMAGEL L CREAM</t>
  </si>
  <si>
    <t>CROCIN 650MG TAB 15'S</t>
  </si>
  <si>
    <t>CUFF Q TAB</t>
  </si>
  <si>
    <t>CUTIMAX CREAM 150GM</t>
  </si>
  <si>
    <t>CVIN CREAM 30GM</t>
  </si>
  <si>
    <t>CYCLOPAM TAB</t>
  </si>
  <si>
    <t>CYPON SYP</t>
  </si>
  <si>
    <t>D COLD TOTAL TAB 6'S</t>
  </si>
  <si>
    <t>D RISE 2000IU SOFGELS</t>
  </si>
  <si>
    <t>D RISE 60K CAP</t>
  </si>
  <si>
    <t>DABUR AMLA OIL 180ML</t>
  </si>
  <si>
    <t>DAZIT 10MG TAB</t>
  </si>
  <si>
    <t>DABUR CHYAWANPRASH 500GM</t>
  </si>
  <si>
    <t>DABUR HONEY SYP 100ML</t>
  </si>
  <si>
    <t>DAIRY MILK</t>
  </si>
  <si>
    <t>DAPAVEL 10MG</t>
  </si>
  <si>
    <t>DEPAKOTE XR 500MG TAB 15'S</t>
  </si>
  <si>
    <t>DERMA CO 2% KOJIC ACID FACE SERUM</t>
  </si>
  <si>
    <t>DERMA KOJIC ACID DAILY FACE WASH</t>
  </si>
  <si>
    <t>DERMADEW SOAP 125GM</t>
  </si>
  <si>
    <t>DERMADEW WRAP OF 125GM SOAP</t>
  </si>
  <si>
    <t>DERMADEW ACNE FACE WASH</t>
  </si>
  <si>
    <t>DERMADEW ALOE CREAM 150GM</t>
  </si>
  <si>
    <t>DERMADEW ALOE PLUS CREAM</t>
  </si>
  <si>
    <t>DERMADEW FACE WASH</t>
  </si>
  <si>
    <t>DERMIS CREAM</t>
  </si>
  <si>
    <t>DERMAMEW SOAP</t>
  </si>
  <si>
    <t>DESRINE LOTION</t>
  </si>
  <si>
    <t>DESKAST TAB 10'S</t>
  </si>
  <si>
    <t>DESOWEN CREAM</t>
  </si>
  <si>
    <t>DETTOL ANTISEPTIC LIQUID 125ML</t>
  </si>
  <si>
    <t>DETTOL ANTISEPTIC LIQUID 250ML</t>
  </si>
  <si>
    <t>DETTOL ANTISEPTIC LIQUID 550ML</t>
  </si>
  <si>
    <t>DETTOL COOL SOAP 150GM</t>
  </si>
  <si>
    <t>DETTOL ORIGINAL HAND SANITIZER</t>
  </si>
  <si>
    <t>DETTOL ORIGINAL HAND WASH PUMP 200ML</t>
  </si>
  <si>
    <t>DETTOL ORIGINAL SOAP 75GM</t>
  </si>
  <si>
    <t>DETTOL ORIGINAL SOAP 125GM</t>
  </si>
  <si>
    <t>DETTOL SKIN CARE SOAP 125GM</t>
  </si>
  <si>
    <t>DEXIGLU 10MG TAB</t>
  </si>
  <si>
    <t>DEXODERM NF</t>
  </si>
  <si>
    <t>DEXONA INJ 2ML</t>
  </si>
  <si>
    <t>DFO 4X GEL 50GM</t>
  </si>
  <si>
    <t>DFO SPRAY 75ML</t>
  </si>
  <si>
    <t>DIAMICRON XR MEX 60/500MG TAB</t>
  </si>
  <si>
    <t>DICLOLAB INJ 3ML</t>
  </si>
  <si>
    <t>DIGENE MINT TAB</t>
  </si>
  <si>
    <t>DIGITAL THERMOMETER FLEXIBLE (MICROGENE)</t>
  </si>
  <si>
    <t>DIPROBATE G PLUS 30GM CREAM</t>
  </si>
  <si>
    <t>DISPOVAN NEEDLE 16G</t>
  </si>
  <si>
    <t>DISPOVAN NEEDLE 18G</t>
  </si>
  <si>
    <t>DISPOVAN SYRINGE 2.5ML</t>
  </si>
  <si>
    <t>DISPOVAN SYRINGE 20ML</t>
  </si>
  <si>
    <t>DISPOVAN SYRINGE 3ML</t>
  </si>
  <si>
    <t>DISPOVAN SYRINGE 50ML</t>
  </si>
  <si>
    <t>DIVON PLUS TAB</t>
  </si>
  <si>
    <t>DOLO 500MG TAB</t>
  </si>
  <si>
    <t>DOLO 650MG TAB</t>
  </si>
  <si>
    <t>DOLO COLD TAB</t>
  </si>
  <si>
    <t>DOLOGEL CT GEL</t>
  </si>
  <si>
    <t>DOLOGEL DROPS</t>
  </si>
  <si>
    <t>DOLOPAR 650MG TAB 15'S</t>
  </si>
  <si>
    <t>DOLOPAR TAB</t>
  </si>
  <si>
    <t>DOLOWIN PLUS TAB</t>
  </si>
  <si>
    <t>DOLOWIN SP TAB</t>
  </si>
  <si>
    <t>DOTHIP 50MG TAB</t>
  </si>
  <si>
    <t>DOVE DAILY SHINE CONDITIONER 175ML</t>
  </si>
  <si>
    <t>DOVE FRESH MOIST SOAP 75GM</t>
  </si>
  <si>
    <t>DOVE HAIR FALL RESCUE SHAMPOO 340ML</t>
  </si>
  <si>
    <t>DOVE HAIR THERAPY DAILY SHINE SHAMPOO 180ML</t>
  </si>
  <si>
    <t>DOVE HAIR THERAPY HAIR FALL RESCUE SHAMPOO</t>
  </si>
  <si>
    <t>DOVE SHAMPOO 200ML</t>
  </si>
  <si>
    <t>DOVE SHAMPOO 400ML</t>
  </si>
  <si>
    <t>DOVE SOAP 100GM</t>
  </si>
  <si>
    <t>DOXY 1 L DR FORTE CAP</t>
  </si>
  <si>
    <t>DOXY L CAP</t>
  </si>
  <si>
    <t>DR RASHEEL VITAMIN C FACE SERUM</t>
  </si>
  <si>
    <t>DR SCHOLLS CALLOUS REM PAD</t>
  </si>
  <si>
    <t>DUOLIN 3 RESPULES</t>
  </si>
  <si>
    <t>DUOLIN 3 RESPULES 3ML</t>
  </si>
  <si>
    <t>DYNAGLIPT TAB</t>
  </si>
  <si>
    <t>DYNAPAR AQ INJ AMP (DICLOTROY AQ INJ)</t>
  </si>
  <si>
    <t>DYTOR 10MG TAB</t>
  </si>
  <si>
    <t>DYTOR PLUS 10MG TAB</t>
  </si>
  <si>
    <t>DYTOR PLUS LS TAB</t>
  </si>
  <si>
    <t>EASIBREATHE CAP</t>
  </si>
  <si>
    <t>EBEEZOL M CREAM</t>
  </si>
  <si>
    <t>EBERNET M CREAM 15GM</t>
  </si>
  <si>
    <t>EBERNET+ CREAM 30GMS</t>
  </si>
  <si>
    <t>ECOSPRIN 75MG TAB</t>
  </si>
  <si>
    <t>ECOSPRIN AV 150/20MG CAP 10'S</t>
  </si>
  <si>
    <t>ECOSPRIN AV 75/20MG CAP</t>
  </si>
  <si>
    <t>ECOSPRIN GOLD 40MG CAP</t>
  </si>
  <si>
    <t>ECOSPRIN GOLD 20MG CAP</t>
  </si>
  <si>
    <t>ELASTIC ADHESIVE BAND AID</t>
  </si>
  <si>
    <t>ELDOPER CAP</t>
  </si>
  <si>
    <t>ELECTRAL POWDER 21.80GM</t>
  </si>
  <si>
    <t>ELTOFER CAP</t>
  </si>
  <si>
    <t>EM CAINE SYP</t>
  </si>
  <si>
    <t>EMESET 4MG TAB</t>
  </si>
  <si>
    <t>EMLUZ CREAM</t>
  </si>
  <si>
    <t>ENO FRUIT LEMON SALT SACH 5GM</t>
  </si>
  <si>
    <t>ENO LEMON SACHET 60'S</t>
  </si>
  <si>
    <t>ENSURE PLUS VANILLA POWDER 400GM</t>
  </si>
  <si>
    <t>ENTRAK EYE OINTMENT</t>
  </si>
  <si>
    <t>ENZOFLAM TAB</t>
  </si>
  <si>
    <t>EPAN DSR CAPS</t>
  </si>
  <si>
    <t>EPTOIN 100MG TAB 120'S</t>
  </si>
  <si>
    <t>ERITEL CH 40MG TAB</t>
  </si>
  <si>
    <t>GARNIER MEN ACNO FIGHT FACE WASH 100GM</t>
  </si>
  <si>
    <t>GARNIER MEN OIL CLEAR FACE WASH 100ML</t>
  </si>
  <si>
    <t>GARNIER MEN TURBO BRIGHT FACE WASH 100GM</t>
  </si>
  <si>
    <t>GARNIER VITAMIN C SERUM</t>
  </si>
  <si>
    <t>GELUSIL MPS CHEWABLE TAB 15TAB</t>
  </si>
  <si>
    <t>GLASSVAN SURGICAL BLADE NO 11</t>
  </si>
  <si>
    <t>GLIMDA MV 2MG TAB</t>
  </si>
  <si>
    <t>GLYCOMET GP 2/850MG TAB</t>
  </si>
  <si>
    <t>GLYCOMET GP 1MG TAB</t>
  </si>
  <si>
    <t>GLYCOMET TRIO 2MG TAB</t>
  </si>
  <si>
    <t>GLYCOMET TRIO FORTE 1MG TAB 10'S</t>
  </si>
  <si>
    <t>GLYNASE MF TAB</t>
  </si>
  <si>
    <t>GOOD KNIGHT FABRIC ROLL ON</t>
  </si>
  <si>
    <t>GRILINCTUS BM SYP</t>
  </si>
  <si>
    <t>GRILINCTUS LS SYP 100ML</t>
  </si>
  <si>
    <t>GRILINCTUS SYP 100ML</t>
  </si>
  <si>
    <t>GUBB BODY SCRUBBER</t>
  </si>
  <si>
    <t>GUDCEF 200MG TAB</t>
  </si>
  <si>
    <t>GUMTONE GEL</t>
  </si>
  <si>
    <t>HIMALAYA LIP BALM</t>
  </si>
  <si>
    <t>LASILACTONE 50MG TAB</t>
  </si>
  <si>
    <t>KANTHSUDHARAK BATI</t>
  </si>
  <si>
    <t>KCOR 10MG TAB</t>
  </si>
  <si>
    <t>KERAGLO MEN TAB</t>
  </si>
  <si>
    <t>KETOKEM SOAP</t>
  </si>
  <si>
    <t>KETOROL DT 10MG TAB</t>
  </si>
  <si>
    <t>KETZ SOAP</t>
  </si>
  <si>
    <t>KOFLET LOZENGE</t>
  </si>
  <si>
    <t>KOFLET LOZENGES 1'S</t>
  </si>
  <si>
    <t>KRISTRA 200 CAPS</t>
  </si>
  <si>
    <t>KUFF Q DX TAB</t>
  </si>
  <si>
    <t>KYLAZINE TOTAL 10</t>
  </si>
  <si>
    <t>KZ PLUS SOAP</t>
  </si>
  <si>
    <t>LACNE BODY SPRAY</t>
  </si>
  <si>
    <t>LACTOGEN 1 POWDER 400GM REFIL</t>
  </si>
  <si>
    <t>LAKME LIP BALM</t>
  </si>
  <si>
    <t>LAKME SUN EXPERT CREAM 55GM</t>
  </si>
  <si>
    <t>LAKME SUN EXPERT SPF 50 PA++++ GEL 50ML</t>
  </si>
  <si>
    <t>LANOXIN 0.25MG TAB</t>
  </si>
  <si>
    <t>LATEX EXAM GLOVES L 100'S</t>
  </si>
  <si>
    <t>LEFNO 20MG TAB</t>
  </si>
  <si>
    <t>LEUKOCREPE 10CMX4M</t>
  </si>
  <si>
    <t>LEUKOCREPE 6CMX4M</t>
  </si>
  <si>
    <t>LEUKOCREPE 8CMX4M</t>
  </si>
  <si>
    <t>LEUKOPLAST 2.5CMX5M</t>
  </si>
  <si>
    <t>LEVOCET TAB</t>
  </si>
  <si>
    <t>LICHENSA CREAM 40GM</t>
  </si>
  <si>
    <t>LIFEBUOY TOTAL 10 HAND WASH POUCH 185ML</t>
  </si>
  <si>
    <t>LIMCEE 500MG TAB</t>
  </si>
  <si>
    <t>LINARES 5</t>
  </si>
  <si>
    <t>LIOFEN 5MG TAB</t>
  </si>
  <si>
    <t>LION BELLADONA PLASTER PAIN RELIEF PATCH</t>
  </si>
  <si>
    <t>LION PLASTER 10'S</t>
  </si>
  <si>
    <t>LIPONORM 10MG TAB 15'S</t>
  </si>
  <si>
    <t>LIPVAS 10MG TAB</t>
  </si>
  <si>
    <t>LIV 52 SYP 200ML</t>
  </si>
  <si>
    <t>LIVEASY COMPRESSOR NEBULIZER MODEL LE NL 01</t>
  </si>
  <si>
    <t>LIVEASY CREPE BANDAGE 10CMX4M</t>
  </si>
  <si>
    <t>LIVEASY ORS POWDER</t>
  </si>
  <si>
    <t>LIVEASY ORTHO CARE LUMBAR SACRO SUPPORT BELT</t>
  </si>
  <si>
    <t>LIVEASY REGULAR BANDAGE</t>
  </si>
  <si>
    <t>LIVEASY WATERPROOF BANDAGE</t>
  </si>
  <si>
    <t>LIVOGEN XT TAB</t>
  </si>
  <si>
    <t>LIVOGEN Z TAB 15'S</t>
  </si>
  <si>
    <t>LIVON HAIR SERUM</t>
  </si>
  <si>
    <t>LOMELA CREAM 18GM</t>
  </si>
  <si>
    <t>LOSSAIR TAB</t>
  </si>
  <si>
    <t>LOTEFAST EYE DROPS</t>
  </si>
  <si>
    <t>LOTUS DERMA BOTANICS SERUM</t>
  </si>
  <si>
    <t>LOTUS HERBALS SAFE SUN SPF 50 CREAM</t>
  </si>
  <si>
    <t>LOX 2% INJ 30ML</t>
  </si>
  <si>
    <t>LOX 2% JELLY</t>
  </si>
  <si>
    <t>LUBIMOIST EYE DROPS</t>
  </si>
  <si>
    <t>LUBREX EYE DROPS</t>
  </si>
  <si>
    <t>LUDURA CREAM 50GM</t>
  </si>
  <si>
    <t>LULICOZ CREAM</t>
  </si>
  <si>
    <t>LULIFORD CREAM 30GM</t>
  </si>
  <si>
    <t>M SOLVIN EXP 100ML (OLD NAME MUCO SOLVIN)</t>
  </si>
  <si>
    <t>MAHAFLOX EYE OINT</t>
  </si>
  <si>
    <t>MAMAEARTH UBTAN NATURAL GLOW FACE WASH</t>
  </si>
  <si>
    <t>MAMAEARTH CHARCOAL FACE WASH</t>
  </si>
  <si>
    <t>MAMAEARTH FACE SERUM VITAMIN C</t>
  </si>
  <si>
    <t>MAMAEARTH NEEM PIMPLE CLEAR FACE WASH</t>
  </si>
  <si>
    <t>MAMAEARTH ONION HAIR SERUM</t>
  </si>
  <si>
    <t>MAMAEARTH ONION SHAMPOO</t>
  </si>
  <si>
    <t>MAMAEARTH RICE DEWY BRIGHT FACE WASH</t>
  </si>
  <si>
    <t>MAMAEARTH RICE FACE WASH</t>
  </si>
  <si>
    <t>MAMAEARTH RICE WATER</t>
  </si>
  <si>
    <t>MAMAEARTH TEA TREE ACNE</t>
  </si>
  <si>
    <t>MAMAEARTH UBTAN FACE WASH</t>
  </si>
  <si>
    <t>MAMAEARTH VITAMIN C FACE WASH</t>
  </si>
  <si>
    <t>MAMAEARTH VITAMIN C FACE WASH 100ML</t>
  </si>
  <si>
    <t>MAXIRICH CAP</t>
  </si>
  <si>
    <t>MEDERMA ADVANCED PLUS CREAM</t>
  </si>
  <si>
    <t>MEDERMA ADVANCED PLUS SCAR GEL 10GM</t>
  </si>
  <si>
    <t>MEDIMIX SOAP 75GM</t>
  </si>
  <si>
    <t>MEDIPORE TAPE 6 INCH (15CM X 9.14M)</t>
  </si>
  <si>
    <t>MEDOMOL 500MG TAB 15'S</t>
  </si>
  <si>
    <t>MEDOMOL 650MG TAB 15'S</t>
  </si>
  <si>
    <t>MEFTAL SPAS TAB</t>
  </si>
  <si>
    <t>MEGAMET G1 TAB</t>
  </si>
  <si>
    <t>MENTHO PLUS BALM 1.2ML</t>
  </si>
  <si>
    <t>MENTHO PLUS BALM 9.8ML</t>
  </si>
  <si>
    <t>MICROBENZ 3.5% AQUEOUS GEL 15GM</t>
  </si>
  <si>
    <t>MINIPRESS XL 5MG TAB 30'S</t>
  </si>
  <si>
    <t>MINOLAST LC KID TAB</t>
  </si>
  <si>
    <t>MIXTARD 30HM PENFILL INJ 3ML</t>
  </si>
  <si>
    <t>MOMATE CREAM 20GM</t>
  </si>
  <si>
    <t>MOMATE F CREAM 10GM</t>
  </si>
  <si>
    <t>MONDESLOR TAB</t>
  </si>
  <si>
    <t>MONOCEF 1GM INJ</t>
  </si>
  <si>
    <t>MONOCEF O 200MG TAB</t>
  </si>
  <si>
    <t>MONTAIR 10MG TAB</t>
  </si>
  <si>
    <t>MONTAIR FX TAB</t>
  </si>
  <si>
    <t>MONTAIR LC TAB</t>
  </si>
  <si>
    <t>MONTEK BL TAB</t>
  </si>
  <si>
    <t>MONTEK LC KID TAB</t>
  </si>
  <si>
    <t>MONTEK LC TAB</t>
  </si>
  <si>
    <t>MONTEWOK LC TAB</t>
  </si>
  <si>
    <t>MONTICOPE TAB</t>
  </si>
  <si>
    <t>MOOV COOL SPRAY</t>
  </si>
  <si>
    <t>MOOV CREAM 10GM</t>
  </si>
  <si>
    <t>MOOV CREAM 30GM</t>
  </si>
  <si>
    <t>MOOV CREAM 50GM</t>
  </si>
  <si>
    <t>MOOV OINT 20GM</t>
  </si>
  <si>
    <t>MOOV OINT 75GM</t>
  </si>
  <si>
    <t>MOOV SPRAY 50GM</t>
  </si>
  <si>
    <t>MOOV SPRAY 80GM</t>
  </si>
  <si>
    <t>MOSOFT F CREAM 10GM</t>
  </si>
  <si>
    <t>MOUTHMIST SPRAY COOL MINT</t>
  </si>
  <si>
    <t>MOX 250MG CAP</t>
  </si>
  <si>
    <t>MOXIMAX D EYE DROPS</t>
  </si>
  <si>
    <t>MOXIMAX EYE DROPS</t>
  </si>
  <si>
    <t>MUPICIP OINT 10GM</t>
  </si>
  <si>
    <t>MUPICIP OINTMENT 15GM</t>
  </si>
  <si>
    <t>MYCODERM C POWDER</t>
  </si>
  <si>
    <t>MYCODERM POWDER 150GM</t>
  </si>
  <si>
    <t>MYORIL 4MG CAP</t>
  </si>
  <si>
    <t>MYSORE SANDAL GOLD SOAP 125GM</t>
  </si>
  <si>
    <t>MYSORE SANDAL SOAP 125GM</t>
  </si>
  <si>
    <t>MYSORE SANDAL SOAP 150GM</t>
  </si>
  <si>
    <t>NASIVION CLASSIC ADULT NASAL SPRAY 10ML</t>
  </si>
  <si>
    <t>NASIVION CLASSIC ADULT NASAL SPRAY 15ML</t>
  </si>
  <si>
    <t>NASIVION NASAL SPRAY 10ML</t>
  </si>
  <si>
    <t>NEEM OIL 100ML</t>
  </si>
  <si>
    <t>NEMUS SCAR GEL</t>
  </si>
  <si>
    <t>NEOSPORIN A OINT 10GM</t>
  </si>
  <si>
    <t>NEOSPORIN POWDER 10GM</t>
  </si>
  <si>
    <t>NEUROBION FORTE RF INJ 2ML</t>
  </si>
  <si>
    <t>NEUROBION FORTE TAB 30'S</t>
  </si>
  <si>
    <t>NEXITO FORTE TAB</t>
  </si>
  <si>
    <t>NEXITO PLUS TAB</t>
  </si>
  <si>
    <t>NICARDIA RETARD 10MG TAB</t>
  </si>
  <si>
    <t>NICIP TAB</t>
  </si>
  <si>
    <t>NICIP COLD &amp; FLU TAB</t>
  </si>
  <si>
    <t>NICIP PLUS TAB 10'S</t>
  </si>
  <si>
    <t>NIKORAN 5MG TAB</t>
  </si>
  <si>
    <t>NILAC A GEL</t>
  </si>
  <si>
    <t>NISARGALAYA ROOT BRAHMI OIL</t>
  </si>
  <si>
    <t>NIVEA BODY LOTION COCOA NURISH 400ML</t>
  </si>
  <si>
    <t>NIVEA CREAM 100GM</t>
  </si>
  <si>
    <t>NIVEA FOR MEN OIL CONTROL FACE WASH LOTION 100ML</t>
  </si>
  <si>
    <t>NIVEA LIP BLAM</t>
  </si>
  <si>
    <t>NIVEA MEN ALL IN ONE OIL CONTROL FACE WASH 65GM</t>
  </si>
  <si>
    <t>NIVEA MEN DARK SPOT REDUCTION FACE WASH 100GM</t>
  </si>
  <si>
    <t>NIVEA SOFT CREAM 100GM</t>
  </si>
  <si>
    <t>NIVEA SOFT CREAM 200GM</t>
  </si>
  <si>
    <t>NODARD PLUS TAB</t>
  </si>
  <si>
    <t>NOMARKS ACNE PIMPLE CREAM</t>
  </si>
  <si>
    <t>NOMARKS SKIN CREAM 25GM</t>
  </si>
  <si>
    <t>NOTIX GREEN PET SOAP 75GM</t>
  </si>
  <si>
    <t>NOTIX PS SHAMPOO</t>
  </si>
  <si>
    <t>NOTIX SOAP</t>
  </si>
  <si>
    <t>NOVALE BAR 75GM</t>
  </si>
  <si>
    <t>NOVOPEN 4 PEN</t>
  </si>
  <si>
    <t>NS 0.9% INF 100ML</t>
  </si>
  <si>
    <t>NUCORT M 4MG TAB</t>
  </si>
  <si>
    <t>NYCIL SANDAL POWDER 150GM</t>
  </si>
  <si>
    <t>ODOMOS CREAM 100GM</t>
  </si>
  <si>
    <t>OFLOXA E/E DROPS</t>
  </si>
  <si>
    <t>OFLOXA D E/E DROPS</t>
  </si>
  <si>
    <t>OKACET TAB</t>
  </si>
  <si>
    <t>OKACET L TAB</t>
  </si>
  <si>
    <t>OLAN 2.5MG TAB</t>
  </si>
  <si>
    <t>OLESOFT LITEMOIST GEL 50GM</t>
  </si>
  <si>
    <t>OLOPAT EYE DROPS</t>
  </si>
  <si>
    <t>OMEE 20MG CAP 20'S</t>
  </si>
  <si>
    <t>OMEZ 20MG CAP</t>
  </si>
  <si>
    <t>OMNI GEL 30GM</t>
  </si>
  <si>
    <t>OMNIGEL GEL</t>
  </si>
  <si>
    <t>OPHTHACARE EYE DROPS</t>
  </si>
  <si>
    <t>OPTIBEX TEAR DROPS</t>
  </si>
  <si>
    <t>ORASORE GEL 100GM</t>
  </si>
  <si>
    <t>ORNI O TAB</t>
  </si>
  <si>
    <t>OROFER XT TAB 15'S</t>
  </si>
  <si>
    <t>ORS L ORANGE POWDER 21GM</t>
  </si>
  <si>
    <t>ORS ORANGE LIQUID</t>
  </si>
  <si>
    <t>ORS WHO RTD APPLE</t>
  </si>
  <si>
    <t>ORS WHO RTD ORANGE</t>
  </si>
  <si>
    <t>OTIFLOX EAR DROPS</t>
  </si>
  <si>
    <t>OTOCOL AC EAR DROPS</t>
  </si>
  <si>
    <t>OTOGESIC EAR DROPS 10ML</t>
  </si>
  <si>
    <t>OTRIVIN ADULT OXY FAST RELIEF 10ML</t>
  </si>
  <si>
    <t>OTRIVIN BREATH CLEAN DAILY WASH</t>
  </si>
  <si>
    <t>OTRIVIN PAED NASAL SPRAY</t>
  </si>
  <si>
    <t>OXRA S 10/100MG TAB 15'S</t>
  </si>
  <si>
    <t>OXRAMET S XR 1000MG TAB 7'S</t>
  </si>
  <si>
    <t>OXRAMET XR 10MG/500MG</t>
  </si>
  <si>
    <t>OXYSPAS 2.5MG TAB</t>
  </si>
  <si>
    <t>OXYSPAS 5MG TAB</t>
  </si>
  <si>
    <t>PAINFREE AP TAB</t>
  </si>
  <si>
    <t>PAN 40MG TAB</t>
  </si>
  <si>
    <t>PAN D CAP 15'S</t>
  </si>
  <si>
    <t>PANDIFF IV INJECTION</t>
  </si>
  <si>
    <t>PANGRAF 0.5MG CAP</t>
  </si>
  <si>
    <t>PANGRAF 1MG CAP</t>
  </si>
  <si>
    <t>PANTAB 40MG TAB</t>
  </si>
  <si>
    <t>PANTENE CONDITIONER 200ML</t>
  </si>
  <si>
    <t>PANTOP D CAP 15'S</t>
  </si>
  <si>
    <t>PANT OSEC D TAB</t>
  </si>
  <si>
    <t>PARACHUTE HAIR OIL 100ML</t>
  </si>
  <si>
    <t>PATANJALI DANT KANTI ACTIVE PASTE 80GM</t>
  </si>
  <si>
    <t>PATANJALI HONEY 250GM</t>
  </si>
  <si>
    <t>PATANJALI HONEY 500GM</t>
  </si>
  <si>
    <t>PEARS REGULAR SOAP 125GM</t>
  </si>
  <si>
    <t>PEER DIGITAL THERMOMETER</t>
  </si>
  <si>
    <t>PENTAB 40MG TAB</t>
  </si>
  <si>
    <t>PENTALOC 40MG TAB</t>
  </si>
  <si>
    <t>DAZIT TAB</t>
  </si>
  <si>
    <t>DART 5MG TAB</t>
  </si>
  <si>
    <t>DABUR GULABARI 250ML</t>
  </si>
  <si>
    <t>DABAR RED TOOHT PASTE GEL 150GM</t>
  </si>
  <si>
    <t>FRESH EYE DROPS</t>
  </si>
  <si>
    <t>FRISIUM 10MG TAB 15'S</t>
  </si>
  <si>
    <t>FUDIC CREAM 10GM</t>
  </si>
  <si>
    <t>GALVUSMET 50/500MG TAB</t>
  </si>
  <si>
    <t>GARDENAL 60MG TAB 100'S</t>
  </si>
  <si>
    <t>GARNIER BRIGHT COMPLETE FACE WASH 100ML</t>
  </si>
  <si>
    <t>GEMER 2MG TAB 15'S</t>
  </si>
  <si>
    <t>GENTALENE PLUS CREAM 20GM</t>
  </si>
  <si>
    <t>GILLETTE PRESTO READY SHAVAR</t>
  </si>
  <si>
    <t>GLIMWAR MP2</t>
  </si>
  <si>
    <t>GLOCIN GEL</t>
  </si>
  <si>
    <t>GLUCOMIN C ORANGE POWDER</t>
  </si>
  <si>
    <t>GLUCOMIN C POWDER 500GM</t>
  </si>
  <si>
    <t>GLUCOMIN D POWDER 125GM</t>
  </si>
  <si>
    <t>GLUCOMIN D POWDER 250GM</t>
  </si>
  <si>
    <t>GLUCOMIN D POWDER 500GM</t>
  </si>
  <si>
    <t>GLUCON D ORANGE POWDER 500GM</t>
  </si>
  <si>
    <t>GLUCON D POWDER 1KG JAR</t>
  </si>
  <si>
    <t>GLUCON D POWDER 500GM JAR</t>
  </si>
  <si>
    <t>GLUCONORM PG FORTE 2MG TAB</t>
  </si>
  <si>
    <t>GLUCONORM Z 80 TAB</t>
  </si>
  <si>
    <t>GLUCORED FORTE TAB</t>
  </si>
  <si>
    <t>GLYCINORM TOTAL 60MG TAB</t>
  </si>
  <si>
    <t>GLYCO 6% CREAM</t>
  </si>
  <si>
    <t>GLYCOMET 500MG TAB</t>
  </si>
  <si>
    <t>GLYCOMET GP 2MG TAB</t>
  </si>
  <si>
    <t>GLYCOZIDE M FORTE TAB</t>
  </si>
  <si>
    <t>GLYNAMIC MP2</t>
  </si>
  <si>
    <t>GRILINCTUS L SYP 100ML</t>
  </si>
  <si>
    <t>HAIR 4U SHAMPOO</t>
  </si>
  <si>
    <t>HAIR 4U SHAMPOO 250ML</t>
  </si>
  <si>
    <t>HAIR 4U SHAMPOO 60ML</t>
  </si>
  <si>
    <t>HAJMOLA CANDY JAR</t>
  </si>
  <si>
    <t>HANSAPLAST PATCH</t>
  </si>
  <si>
    <t>HANSAPLAST REGULAR</t>
  </si>
  <si>
    <t>HANSAPLAST SPOTS</t>
  </si>
  <si>
    <t>HANSAPLAST WASH PROOF STRIPS</t>
  </si>
  <si>
    <t>HANSAPLAST WASH PROOF BAND AID</t>
  </si>
  <si>
    <t>HANSAPLAST WASH PROOF BAND AID 1'S</t>
  </si>
  <si>
    <t>HHFUDIC CREAM</t>
  </si>
  <si>
    <t>HHSALIC OINT 20GM</t>
  </si>
  <si>
    <t>HHSONE CREAM 30GM</t>
  </si>
  <si>
    <t>HIFENAC P TAB</t>
  </si>
  <si>
    <t>HIMALAYA AYURSLIM CAP</t>
  </si>
  <si>
    <t>HIMALAYA FACE WASH CREAM 100GM</t>
  </si>
  <si>
    <t>HIMALAYA HONEY AND CREAM SOAP 125GM</t>
  </si>
  <si>
    <t>HIMALAYA NATURAL GLOW FAIRNESS CREAM 50GM</t>
  </si>
  <si>
    <t>HIMALAYA NEEM FACE WASH 200ML</t>
  </si>
  <si>
    <t>HIMALAYA TAN REMOVAL ORANGE FACE WASH 50ML</t>
  </si>
  <si>
    <t>HIORA SG GEL</t>
  </si>
  <si>
    <t>HOMIN TAB</t>
  </si>
  <si>
    <t>HUMAN MIXTARD 30/70 40IU INJ</t>
  </si>
  <si>
    <t>HYDROGEN PEROXIDE 100ML (ARIHANT)</t>
  </si>
  <si>
    <t>HYDROGEN PEROXIDE 450ML</t>
  </si>
  <si>
    <t>HYLUPRO EYE DROPS</t>
  </si>
  <si>
    <t>I KOLD E/DROPS</t>
  </si>
  <si>
    <t>IMOL PLUS TAB</t>
  </si>
  <si>
    <t>INDOCAP 25MG CAP</t>
  </si>
  <si>
    <t>INDULEKHA BRINGHA OIL</t>
  </si>
  <si>
    <t>INDULEKHA SHAMPOO</t>
  </si>
  <si>
    <t>INDULEKHA SHAMPOO 100ML</t>
  </si>
  <si>
    <t>IODEX BALM 16GM</t>
  </si>
  <si>
    <t>IODEX BALM BIG 40GM</t>
  </si>
  <si>
    <t>IODEX BALM SMALL 8GM</t>
  </si>
  <si>
    <t>IODINE TINCTURE 100ML</t>
  </si>
  <si>
    <t>IODINE TINCTURE 50ML</t>
  </si>
  <si>
    <t>ISOTROIN 20MG CAP</t>
  </si>
  <si>
    <t>ISRYL M3</t>
  </si>
  <si>
    <t>ISTAMET 50/500MG TAB</t>
  </si>
  <si>
    <t>ITCH GUARD CREAM 20GM</t>
  </si>
  <si>
    <t>ITRACIP 200MG CAP</t>
  </si>
  <si>
    <t>ITRANCURE 200MG</t>
  </si>
  <si>
    <t>IZ K CREAM</t>
  </si>
  <si>
    <t>JALRA 50MG TAB</t>
  </si>
  <si>
    <t>JALRA M 50/500MG TAB</t>
  </si>
  <si>
    <t>JANUMET 50/1GM TAB</t>
  </si>
  <si>
    <t>JANUVIA 100MG TAB 7'S</t>
  </si>
  <si>
    <t>JARDIANCE 10MG TAB</t>
  </si>
  <si>
    <t>JMS MEDITAPE 1/2 INCH</t>
  </si>
  <si>
    <t>JMS MEDITAPE 3IN 12'S</t>
  </si>
  <si>
    <t>JOHNSONS BABY SOAP 150GM</t>
  </si>
  <si>
    <t>JUST TEARS EYE DROPS</t>
  </si>
  <si>
    <t>K&amp;H PAIN FREE SP TAB</t>
  </si>
  <si>
    <t>KANTHASUDHARAK BATI</t>
  </si>
  <si>
    <t>12.80 15'S</t>
  </si>
  <si>
    <t>210.00 200ML</t>
  </si>
  <si>
    <t>45.47 1'S</t>
  </si>
  <si>
    <t>17.14 10'S</t>
  </si>
  <si>
    <t>397.62 VIAL</t>
  </si>
  <si>
    <t>13.08 0.5ML</t>
  </si>
  <si>
    <t>175.00 120GM</t>
  </si>
  <si>
    <t>9.40 10'S</t>
  </si>
  <si>
    <t>9.79 10'S</t>
  </si>
  <si>
    <t>16.06 10'S</t>
  </si>
  <si>
    <t>7.54 10'S</t>
  </si>
  <si>
    <t>13.20 10'S</t>
  </si>
  <si>
    <t>14.88 10'S</t>
  </si>
  <si>
    <t>588.00 75GM</t>
  </si>
  <si>
    <t>120.00 22GM</t>
  </si>
  <si>
    <t>110.00 75GM</t>
  </si>
  <si>
    <t>11.80 10'S</t>
  </si>
  <si>
    <t>360.00 15GM</t>
  </si>
  <si>
    <t>26.38 6'S</t>
  </si>
  <si>
    <t>629.00 1'S</t>
  </si>
  <si>
    <t>572.00 1'S</t>
  </si>
  <si>
    <t>565.00 100GM</t>
  </si>
  <si>
    <t>798.00 100ML</t>
  </si>
  <si>
    <t>365.00 500ML</t>
  </si>
  <si>
    <t>34.96 10'S</t>
  </si>
  <si>
    <t>2.01 10'S</t>
  </si>
  <si>
    <t>120.00 100ML</t>
  </si>
  <si>
    <t>129.94 100ML</t>
  </si>
  <si>
    <t>2.73 15'S</t>
  </si>
  <si>
    <t>8.24 10'S</t>
  </si>
  <si>
    <t>8.24 15'S</t>
  </si>
  <si>
    <t>6.97 10'S</t>
  </si>
  <si>
    <t>3.96 15'S</t>
  </si>
  <si>
    <t>6.21 15'S</t>
  </si>
  <si>
    <t>2.80 30'S</t>
  </si>
  <si>
    <t>17.07 15'S</t>
  </si>
  <si>
    <t>30.99 10'S</t>
  </si>
  <si>
    <t>20.49 10'S</t>
  </si>
  <si>
    <t>1300.00 1LTR</t>
  </si>
  <si>
    <t>94.00 50ML</t>
  </si>
  <si>
    <t>104.00 25GM</t>
  </si>
  <si>
    <t>150.00 45GM</t>
  </si>
  <si>
    <t>45.00 1'S</t>
  </si>
  <si>
    <t>66.00 10ML</t>
  </si>
  <si>
    <t>44.00 9GM</t>
  </si>
  <si>
    <t>1390.00 60ML</t>
  </si>
  <si>
    <t>28.00 10'S</t>
  </si>
  <si>
    <t>9.58 25'S</t>
  </si>
  <si>
    <t>525.00 1'S</t>
  </si>
  <si>
    <t>10.63 30'S</t>
  </si>
  <si>
    <t>10.91 10'S</t>
  </si>
  <si>
    <t>148.00 200ML</t>
  </si>
  <si>
    <t>165.00 200ML</t>
  </si>
  <si>
    <t>225.00 300ML</t>
  </si>
  <si>
    <t>640.80 3ML</t>
  </si>
  <si>
    <t>10.30 1ML</t>
  </si>
  <si>
    <t>22.00 1'S</t>
  </si>
  <si>
    <t>170.00 150ML</t>
  </si>
  <si>
    <t>147.62 20GM</t>
  </si>
  <si>
    <t>334.00 100ML</t>
  </si>
  <si>
    <t>13.31 0.5ML</t>
  </si>
  <si>
    <t>13.09 0.5ML</t>
  </si>
  <si>
    <t>201.40 200ML</t>
  </si>
  <si>
    <t>90.00 25GM</t>
  </si>
  <si>
    <t>17.58 10ML</t>
  </si>
  <si>
    <t>4.75 10'S</t>
  </si>
  <si>
    <t>15.73 10'S</t>
  </si>
  <si>
    <t>15.01 15'S</t>
  </si>
  <si>
    <t>20.85 10'S</t>
  </si>
  <si>
    <t>17.17 10'S</t>
  </si>
  <si>
    <t>195.00 20GM</t>
  </si>
  <si>
    <t>369.00 15GM</t>
  </si>
  <si>
    <t>88.50 10ML</t>
  </si>
  <si>
    <t>393.00 400ML</t>
  </si>
  <si>
    <t>92.81 15GM</t>
  </si>
  <si>
    <t>128.45 15GM</t>
  </si>
  <si>
    <t>134.20 20GM</t>
  </si>
  <si>
    <t>262.50 200ML</t>
  </si>
  <si>
    <t>20.00 5ML</t>
  </si>
  <si>
    <t>106.00 100GM</t>
  </si>
  <si>
    <t>8.28 15'S</t>
  </si>
  <si>
    <t>3.80 1'S</t>
  </si>
  <si>
    <t>3.50 10'S</t>
  </si>
  <si>
    <t>99.00 100ML</t>
  </si>
  <si>
    <t>12.66 10'S</t>
  </si>
  <si>
    <t>136.00 150GM</t>
  </si>
  <si>
    <t>150.00 22GM</t>
  </si>
  <si>
    <t>185.00 250ML</t>
  </si>
  <si>
    <t>90.00 1'S</t>
  </si>
  <si>
    <t>190.00 150GM</t>
  </si>
  <si>
    <t>190.00 120GM</t>
  </si>
  <si>
    <t>190.00 100GM</t>
  </si>
  <si>
    <t>99.00 50GM</t>
  </si>
  <si>
    <t>27.55 10'S</t>
  </si>
  <si>
    <t>2.79 20'S</t>
  </si>
  <si>
    <t>13.22 10'S</t>
  </si>
  <si>
    <t>7.23 10'S</t>
  </si>
  <si>
    <t>48.00 1'S</t>
  </si>
  <si>
    <t>40.00 1'S</t>
  </si>
  <si>
    <t>18.00 15GM</t>
  </si>
  <si>
    <t>37.00 30GM</t>
  </si>
  <si>
    <t>63.00 60GM</t>
  </si>
  <si>
    <t>19.77 10'S</t>
  </si>
  <si>
    <t>80.00 25GM</t>
  </si>
  <si>
    <t>311.95 30GM</t>
  </si>
  <si>
    <t>2.25 15'S</t>
  </si>
  <si>
    <t>3.35 10'S</t>
  </si>
  <si>
    <t>471.55 150GM</t>
  </si>
  <si>
    <t>265.00 30GM</t>
  </si>
  <si>
    <t>6.34 20'S</t>
  </si>
  <si>
    <t>149.00 200ML</t>
  </si>
  <si>
    <t>3.90 6'S</t>
  </si>
  <si>
    <t>10.34 10'S</t>
  </si>
  <si>
    <t>32.89 4'S</t>
  </si>
  <si>
    <t>105.00 180ML</t>
  </si>
  <si>
    <t>165.00 80GM</t>
  </si>
  <si>
    <t>45.00 20GM</t>
  </si>
  <si>
    <t>90.00 40GM</t>
  </si>
  <si>
    <t>189.25 100ML</t>
  </si>
  <si>
    <t>157.25 100ML</t>
  </si>
  <si>
    <t>26.65 2ML</t>
  </si>
  <si>
    <t>99.15 15GM</t>
  </si>
  <si>
    <t>231.00 100ML</t>
  </si>
  <si>
    <t>283.00 100ML</t>
  </si>
  <si>
    <t>453.00 100ML</t>
  </si>
  <si>
    <t>1.00 15'S</t>
  </si>
  <si>
    <t>106.00 5ML</t>
  </si>
  <si>
    <t>182.00 20GM</t>
  </si>
  <si>
    <t>100.80 30GM</t>
  </si>
  <si>
    <t>174.00 120GM</t>
  </si>
  <si>
    <t>139.00 120GM</t>
  </si>
  <si>
    <t>24.77 10'S</t>
  </si>
  <si>
    <t>52.00 10ML</t>
  </si>
  <si>
    <t>950.00 400ML</t>
  </si>
  <si>
    <t>669.00 75GM</t>
  </si>
  <si>
    <t>769.00 250ML</t>
  </si>
  <si>
    <t>429.00 125ML</t>
  </si>
  <si>
    <t>669.00 80GM</t>
  </si>
  <si>
    <t>1099.00 250ML</t>
  </si>
  <si>
    <t>699.00 125ML</t>
  </si>
  <si>
    <t>1313.00 100ML</t>
  </si>
  <si>
    <t>48.00 100GM</t>
  </si>
  <si>
    <t>45.00 100GM</t>
  </si>
  <si>
    <t>205.70 125GM</t>
  </si>
  <si>
    <t>71.65 20GM</t>
  </si>
  <si>
    <t>3.00 1'S</t>
  </si>
  <si>
    <t>90.03 10GM</t>
  </si>
  <si>
    <t>3.21 30’S</t>
  </si>
  <si>
    <t>248.90 100ML</t>
  </si>
  <si>
    <t>168.50 120ML</t>
  </si>
  <si>
    <t>154.50 100ML</t>
  </si>
  <si>
    <t>144.84 100ML</t>
  </si>
  <si>
    <t>110.00 100ML</t>
  </si>
  <si>
    <t>180.05 200MD</t>
  </si>
  <si>
    <t>7.77 2ML</t>
  </si>
  <si>
    <t>65.26 60’S</t>
  </si>
  <si>
    <t>3.85 15’S</t>
  </si>
  <si>
    <t>6.88 15’S</t>
  </si>
  <si>
    <t>5.57 15’S</t>
  </si>
  <si>
    <t>10.38 10’S</t>
  </si>
  <si>
    <t>20.84 6’S</t>
  </si>
  <si>
    <t>20.49 10’S</t>
  </si>
  <si>
    <t>20.84 10’S</t>
  </si>
  <si>
    <t>67.54 30ML</t>
  </si>
  <si>
    <t>6.26 2ML</t>
  </si>
  <si>
    <t>35.09 14’S</t>
  </si>
  <si>
    <t>26.40 5’S</t>
  </si>
  <si>
    <t>4.73 10’S</t>
  </si>
  <si>
    <t>20.50 10’S</t>
  </si>
  <si>
    <t>145.00 200GM</t>
  </si>
  <si>
    <t>40.00 10’S</t>
  </si>
  <si>
    <t>20.00 1’S</t>
  </si>
  <si>
    <t>40.80 1’S</t>
  </si>
  <si>
    <t>20.60 5’S</t>
  </si>
  <si>
    <t>1.87 60’S</t>
  </si>
  <si>
    <t>3.12 20’S</t>
  </si>
  <si>
    <t>22.00 1’S</t>
  </si>
  <si>
    <t>109.76 100ML</t>
  </si>
  <si>
    <t>754.69 250GM</t>
  </si>
  <si>
    <t>21.96 10’S</t>
  </si>
  <si>
    <t>19.31 10’S</t>
  </si>
  <si>
    <t>16.94 10’S</t>
  </si>
  <si>
    <t>17.13 10’S</t>
  </si>
  <si>
    <t>23.60 10’S</t>
  </si>
  <si>
    <t>20.70 10’S</t>
  </si>
  <si>
    <t>20.30 10’S</t>
  </si>
  <si>
    <t>BLUBELL PHARMA (IND SURJO PHARMA)</t>
  </si>
  <si>
    <t>MICRO LAB (HEALTHCARE)</t>
  </si>
  <si>
    <t>HIMANI LIMITED</t>
  </si>
  <si>
    <t>G D PHARMACEUTICALS LTD</t>
  </si>
  <si>
    <t>WOCKHARDT LIMITED (PHARMA - ORI)</t>
  </si>
  <si>
    <t>IPCA LABORATORIES (DYNAMIX)</t>
  </si>
  <si>
    <t>GENERAL PHARMACEUTICALS LTD</t>
  </si>
  <si>
    <t>ABBOTT INDIA LTD (GENERAL CARE)</t>
  </si>
  <si>
    <t>MANKIND (PHARMA)</t>
  </si>
  <si>
    <t>CIPLA LIMITED RESPIRATORY</t>
  </si>
  <si>
    <t>CIPLA LIMITED GENERIC</t>
  </si>
  <si>
    <t>IPCA LABORATORIES (3C)</t>
  </si>
  <si>
    <t>MANKIND PHARMA (LIFESTAR)</t>
  </si>
  <si>
    <t>LEEFORD HEALTHCARE LTD</t>
  </si>
  <si>
    <t>MICRO LAB (GRATIA DERMA)</t>
  </si>
  <si>
    <t>GLAXO SMITHKLINE (TEAM 1 ENTERO)</t>
  </si>
  <si>
    <t>GLENMARK (MILIEUS)</t>
  </si>
  <si>
    <t>GLENMARK (PHARMA)</t>
  </si>
  <si>
    <t>MANKIND PHARMA (DISCOVERY)</t>
  </si>
  <si>
    <t>LABORATE PHARMACEUTICALS INDIA</t>
  </si>
  <si>
    <t>GLAXO SMITHKLINE (TEAM 3 ASCLEPI)</t>
  </si>
  <si>
    <t>GALDERMA INDIA PVT LTD</t>
  </si>
  <si>
    <t>TORRENT PHARMA (UNO SPIRIT)</t>
  </si>
  <si>
    <t>RANBAXY LAB (REXTAR/MAXXIM)</t>
  </si>
  <si>
    <t>J B CHEMICALS &amp; PHARMA LTD</t>
  </si>
  <si>
    <t>CADELL HEALTHCARE PVT LTD</t>
  </si>
  <si>
    <t>GODREJ SOAP LTD</t>
  </si>
  <si>
    <t>CIPLA LIMITED</t>
  </si>
  <si>
    <t>CIPLA LIMITED SPECTRA 1</t>
  </si>
  <si>
    <t>4.33 15’S</t>
  </si>
  <si>
    <t>30.50 10’S</t>
  </si>
  <si>
    <t>0.80 15’S</t>
  </si>
  <si>
    <t>22.57 10’S</t>
  </si>
  <si>
    <t>14.05 15’S</t>
  </si>
  <si>
    <t>33.63 4’S</t>
  </si>
  <si>
    <t>1.00 15’S</t>
  </si>
  <si>
    <t>14.46 10’S</t>
  </si>
  <si>
    <t>24.77 10’S</t>
  </si>
  <si>
    <t>57.60 10’S</t>
  </si>
  <si>
    <t>8.47 10’S</t>
  </si>
  <si>
    <t>23.39 20’S</t>
  </si>
  <si>
    <t>4.75 10’S</t>
  </si>
  <si>
    <t>17.73 15’S</t>
  </si>
  <si>
    <t>23.66 15’S</t>
  </si>
  <si>
    <t>19.58 15’S</t>
  </si>
  <si>
    <t>4.41 10’S</t>
  </si>
  <si>
    <t>6.98 15’S</t>
  </si>
  <si>
    <t>3.00 1’S</t>
  </si>
  <si>
    <t>2.46 10’S</t>
  </si>
  <si>
    <t>ZYDUS CADILA HEALTHCARE LTD.</t>
  </si>
  <si>
    <t>LINUX LABORATORIES</t>
  </si>
  <si>
    <t>ALKEM LAB (ACE)</t>
  </si>
  <si>
    <t>COREM PHARMA PVT LTD</t>
  </si>
  <si>
    <t>H&amp;H PHARMA (COSMECEUTICAL)</t>
  </si>
  <si>
    <t>HINDUSTAN LEVER LIMITED</t>
  </si>
  <si>
    <t>INDOCO REMEDIES LIMITED</t>
  </si>
  <si>
    <t>DR REDDY'S LAB (RECURA)</t>
  </si>
  <si>
    <t>CPM MOHENA COMPANY</t>
  </si>
  <si>
    <t>BMW PHARMACO INDIA PVT LTD</t>
  </si>
  <si>
    <t>GLAXO SMITHKLINE (TEAM 4 UNICORI)</t>
  </si>
  <si>
    <t>COGNITIVE LIFE SCIENCES</t>
  </si>
  <si>
    <t>COLGATE PALMOLIVE INDIA LTD</t>
  </si>
  <si>
    <t>TORRENT PHARMA (PRIMA)</t>
  </si>
  <si>
    <t>SANOFI INDIA LIMITED (PHC)</t>
  </si>
  <si>
    <t>MERCK INDIA LTD</t>
  </si>
  <si>
    <t>MERCK LTD (CM CARE)</t>
  </si>
  <si>
    <t>PRECISION COATING</t>
  </si>
  <si>
    <t>COMMON</t>
  </si>
  <si>
    <t>PRABHAT SURGICAL COTTON (P) LTD</t>
  </si>
  <si>
    <t>SERDIA PHARMACEUTICALS (INDIA) P</t>
  </si>
  <si>
    <t>AUREL BIOLIFE</t>
  </si>
  <si>
    <t>ABBOTT INDIA LTD (GASTRO)</t>
  </si>
  <si>
    <t>GLAXO SMITHKLINE (CONSUMER HC)</t>
  </si>
  <si>
    <t>THEMIS GENERIC</t>
  </si>
  <si>
    <t>IPCA LABORATORIES (BIONOVA)</t>
  </si>
  <si>
    <t>INDOCO REMEDIES (SPECIALITY)</t>
  </si>
  <si>
    <t>GENO (PHARMA)</t>
  </si>
  <si>
    <t>PARAS PHARMA</t>
  </si>
  <si>
    <t>USV LIMITED (CORVETTE)</t>
  </si>
  <si>
    <t>DABUR INDIA LIMITED</t>
  </si>
  <si>
    <t>240.00 500GM</t>
  </si>
  <si>
    <t>92.00 250ML</t>
  </si>
  <si>
    <t>125.00 100ML</t>
  </si>
  <si>
    <t>127.00 150GM</t>
  </si>
  <si>
    <t>10.00 11GM</t>
  </si>
  <si>
    <t>15.60 10’S</t>
  </si>
  <si>
    <t>4.33 10’S</t>
  </si>
  <si>
    <t>18.73 15’S</t>
  </si>
  <si>
    <t>11.20 15’S</t>
  </si>
  <si>
    <t>28.76 15’S</t>
  </si>
  <si>
    <t>1.35 30’S</t>
  </si>
  <si>
    <t>249.00 10ML</t>
  </si>
  <si>
    <t>299.00 100ML</t>
  </si>
  <si>
    <t>220.00 125GM</t>
  </si>
  <si>
    <t>338.00 100ML</t>
  </si>
  <si>
    <t>456.00 150GM</t>
  </si>
  <si>
    <t>252.00 80GM</t>
  </si>
  <si>
    <t>300.00 100ML</t>
  </si>
  <si>
    <t>189.00 75GM</t>
  </si>
  <si>
    <t>54.45 15GM</t>
  </si>
  <si>
    <t>208.88 100ML</t>
  </si>
  <si>
    <t>28.31 10’S</t>
  </si>
  <si>
    <t>260.00 10GM</t>
  </si>
  <si>
    <t>83.03 125ML</t>
  </si>
  <si>
    <t>170.00 250ML</t>
  </si>
  <si>
    <t>41.49 60ML</t>
  </si>
  <si>
    <t>267.09 500ML</t>
  </si>
  <si>
    <t>100.00 150GM</t>
  </si>
  <si>
    <t>30.00 48ML</t>
  </si>
  <si>
    <t>99.00 200ML</t>
  </si>
  <si>
    <t>100.00 125GM</t>
  </si>
  <si>
    <t>50.00 75GM</t>
  </si>
  <si>
    <t>90.00 125GM</t>
  </si>
  <si>
    <t>15.00 10’S</t>
  </si>
  <si>
    <t>103.10 15GM</t>
  </si>
  <si>
    <t>11.40 10’S</t>
  </si>
  <si>
    <t>229.86 50GM</t>
  </si>
  <si>
    <t>244.45 75ML</t>
  </si>
  <si>
    <t>22.69 15’S</t>
  </si>
  <si>
    <t>5.65 3ML</t>
  </si>
  <si>
    <t>1.95 15’S</t>
  </si>
  <si>
    <t>349.00 1’S</t>
  </si>
  <si>
    <t>115.00 30GM</t>
  </si>
  <si>
    <t>4.00 1’S</t>
  </si>
  <si>
    <t>2.40 1’S</t>
  </si>
  <si>
    <t>8.40 2.5ML</t>
  </si>
  <si>
    <t>28.13 20ML</t>
  </si>
  <si>
    <t>8.80 3ML</t>
  </si>
  <si>
    <t>61.00 50ML</t>
  </si>
  <si>
    <t>CATALENT PHARMA</t>
  </si>
  <si>
    <t>INTAS PHARMACEUTICALS (ALITA)</t>
  </si>
  <si>
    <t>JUGAJI PHARMA LTD</t>
  </si>
  <si>
    <t>SUN PHARMA (PHARMA)</t>
  </si>
  <si>
    <t>SANOFI INDIA LIMITED (ONG RANGE)</t>
  </si>
  <si>
    <t>GERMAN REMEDIES LTD (RESPICARE)</t>
  </si>
  <si>
    <t>DERMACARE PHARMACEUTICALS PVT</t>
  </si>
  <si>
    <t>DERMA CONCEPTS</t>
  </si>
  <si>
    <t>H&amp;H PHARMA (DERMATOLOGY)</t>
  </si>
  <si>
    <t>UNIVERSAL GENERIC</t>
  </si>
  <si>
    <t>EAST WEST PHARMA (DERMA)</t>
  </si>
  <si>
    <t>LUPIN LIMITED</t>
  </si>
  <si>
    <t>RECKITT BENCKISER INDIA</t>
  </si>
  <si>
    <t>RECKITT &amp; COLMAN OF INDIA LTD</t>
  </si>
  <si>
    <t>FUSION HEALTH CARE PVT LTD</t>
  </si>
  <si>
    <t>MICRO LABS (GENERIC)</t>
  </si>
  <si>
    <t>ZYDUS PHARMA (ALIDAC/CORZA)</t>
  </si>
  <si>
    <t>OZONE PHARMACEUTICALS LTD (BAJAJ)</t>
  </si>
  <si>
    <t>OZONE PHARMA (PROTON)</t>
  </si>
  <si>
    <t>ABBOTT INDIA LTD (CONSUMER CARE)</t>
  </si>
  <si>
    <t>MICROGENE DIAGNOSTIC</t>
  </si>
  <si>
    <t>REDCLIFFE HYGIENE PVT LTD</t>
  </si>
  <si>
    <t>HINDUSTAN SYRINGES &amp; MEDICAL</t>
  </si>
  <si>
    <t>MICRO LAB (GENERAL TASK FORCE-C)</t>
  </si>
  <si>
    <t>DR REDDY'S LABORATORIES LTD</t>
  </si>
  <si>
    <t>MICRO LAB (MICRONOVA)</t>
  </si>
  <si>
    <t>MICRO LAB (SYNCRO - SYNAPES)</t>
  </si>
  <si>
    <t>HINDUSTAN UNILEVER LIMITED</t>
  </si>
  <si>
    <t>USV LIMITED (FORCE ONE PHARMA)</t>
  </si>
  <si>
    <t>USV LIMITED (PHARMA)</t>
  </si>
  <si>
    <t>CONSUMER HEALTH CARE</t>
  </si>
  <si>
    <t>DR. SCHOLL'S</t>
  </si>
  <si>
    <t>TROIKAA PHARMA (SPECTRA)</t>
  </si>
  <si>
    <t>CIPLA LIMITED VITALIS</t>
  </si>
  <si>
    <t>PALSONS (DERMA)</t>
  </si>
  <si>
    <t>DR REDDY'S LAB (DERMA)</t>
  </si>
  <si>
    <t>USV LIMITED (CONDOR)</t>
  </si>
  <si>
    <t>USV LIMITED (CONQUER)</t>
  </si>
  <si>
    <t>SURGICAL</t>
  </si>
  <si>
    <t>MICRO LAB (BROWN &amp; BURK)</t>
  </si>
  <si>
    <t>FDC LTD (VISTA)</t>
  </si>
  <si>
    <t>SUNLIFE SCIENCES PVT LTD</t>
  </si>
  <si>
    <t>3A PHARMACEUTICALS</t>
  </si>
  <si>
    <t>CIPLA LIMITED SPECTRA 2</t>
  </si>
  <si>
    <t>EMCURE PHARMA (EMCUTIX)</t>
  </si>
  <si>
    <t>GLAXO INDIA LTD</t>
  </si>
  <si>
    <t>ABBOTT INDIA LTD (NUTRITION)</t>
  </si>
  <si>
    <t>ENTOD PHARMACEUTICALS PVT. LTD</t>
  </si>
  <si>
    <t>ALKEM LAB (BERGAN HEALTH)</t>
  </si>
  <si>
    <t>PRAGMATIC LABS PVT. LTD</t>
  </si>
  <si>
    <t>ABBOTT INDIA LTD (NEUROSCIENCES)</t>
  </si>
  <si>
    <t>ERIS LIFE SCIENCES (PHARMA)</t>
  </si>
  <si>
    <t>2.29 15'S</t>
  </si>
  <si>
    <t>4.15 10'S</t>
  </si>
  <si>
    <t>116.71 10GM</t>
  </si>
  <si>
    <t>119.75 15GM</t>
  </si>
  <si>
    <t>4.20 15'S</t>
  </si>
  <si>
    <t>8.90 10'S</t>
  </si>
  <si>
    <t>16.20 15'S</t>
  </si>
  <si>
    <t>9.30 15'S</t>
  </si>
  <si>
    <t>285.00 175ML</t>
  </si>
  <si>
    <t>75.00 75GM</t>
  </si>
  <si>
    <t>490.00 340ML</t>
  </si>
  <si>
    <t>224.00 180ML</t>
  </si>
  <si>
    <t>246.00 200ML</t>
  </si>
  <si>
    <t>355.00 400ML</t>
  </si>
  <si>
    <t>67.00 100GM</t>
  </si>
  <si>
    <t>11.50 10'S</t>
  </si>
  <si>
    <t>8.00 10'S</t>
  </si>
  <si>
    <t>399.00 30ML</t>
  </si>
  <si>
    <t>2099.00 1'S</t>
  </si>
  <si>
    <t>137.15 3ML</t>
  </si>
  <si>
    <t>27.43 5'S</t>
  </si>
  <si>
    <t>9.05 10'S</t>
  </si>
  <si>
    <t>43.56 1ML</t>
  </si>
  <si>
    <t>6.85 15'S</t>
  </si>
  <si>
    <t>7.92 15'S</t>
  </si>
  <si>
    <t>5.05 10'S</t>
  </si>
  <si>
    <t>8.17 10'S</t>
  </si>
  <si>
    <t>178.13 15GM</t>
  </si>
  <si>
    <t>418.25 15GM</t>
  </si>
  <si>
    <t>566.00 30GM</t>
  </si>
  <si>
    <t>0.39 14'S</t>
  </si>
  <si>
    <t>5.23 10'S</t>
  </si>
  <si>
    <t>6.68 10'S</t>
  </si>
  <si>
    <t>16.69 15'S</t>
  </si>
  <si>
    <t>12.40 15'S</t>
  </si>
  <si>
    <t>1620.00 1'S</t>
  </si>
  <si>
    <t>4.25 10'S</t>
  </si>
  <si>
    <t>23.05 21.8GM</t>
  </si>
  <si>
    <t>4.23 10'S</t>
  </si>
  <si>
    <t>131.00 200ML</t>
  </si>
  <si>
    <t>5.76 10'S</t>
  </si>
  <si>
    <t>290.25 20GM</t>
  </si>
  <si>
    <t>11.00 5GM</t>
  </si>
  <si>
    <t>10.00 60'S</t>
  </si>
  <si>
    <t>872.03 400GM</t>
  </si>
  <si>
    <t>379.69 5GM</t>
  </si>
  <si>
    <t>17.20 10'S</t>
  </si>
  <si>
    <t>11.00 10'S</t>
  </si>
  <si>
    <t>2.01 120'S</t>
  </si>
  <si>
    <t>18.62 15'S</t>
  </si>
  <si>
    <t>ACINOM HEALTHCARE</t>
  </si>
  <si>
    <t>SANOFI INDIA LIMITED (CNS RANGE)</t>
  </si>
  <si>
    <t>DINAKAR IPCA PHARMA LTD</t>
  </si>
  <si>
    <t>ABBOTT HEALTHCARE PVT. LTD</t>
  </si>
  <si>
    <t>GARNIER LAB</t>
  </si>
  <si>
    <t>PFIZER LTD (CHPD - FUTURA)</t>
  </si>
  <si>
    <t>SUN PHARMA (AZURA)</t>
  </si>
  <si>
    <t>RANBAXY LAB (CROSLAND)</t>
  </si>
  <si>
    <t>PROCTER &amp; GAMBLE INDIA LTD (P &amp; G)</t>
  </si>
  <si>
    <t>NIRAJ INDUSTRIES PVT LTD</t>
  </si>
  <si>
    <t>BIOCHEM GENERICS (SPECTRUM)</t>
  </si>
  <si>
    <t>GLOWDERMA LAB PVT LTD</t>
  </si>
  <si>
    <t>JBS HEALTH FOOD</t>
  </si>
  <si>
    <t>GENERAL..I</t>
  </si>
  <si>
    <t>HEINZ</t>
  </si>
  <si>
    <t>LUPIN PHARMA (METABOLICS)</t>
  </si>
  <si>
    <t>LUPIN PHARMA (DIABETES CARE)</t>
  </si>
  <si>
    <t>SUN PHARMA (ARIAN)</t>
  </si>
  <si>
    <t>USV LIMITED (CORONA)</t>
  </si>
  <si>
    <t>EAST WEST PHARMA (DIABETIC)</t>
  </si>
  <si>
    <t>FUSION HEALTH CARE PVT. LTD</t>
  </si>
  <si>
    <t>GODREJ SARA LEE LIMITED</t>
  </si>
  <si>
    <t>FRANCO INDIA PHARMACEUTICALS P</t>
  </si>
  <si>
    <t>CHARAK PHARMA PVT LIMITED</t>
  </si>
  <si>
    <t>GLENMARK (GRACEWELL)</t>
  </si>
  <si>
    <t>YASH PHARMA LAB LTD</t>
  </si>
  <si>
    <t>120.00 10ML</t>
  </si>
  <si>
    <t>11.02 15'S</t>
  </si>
  <si>
    <t>110.10 10GM</t>
  </si>
  <si>
    <t>24.08 15'S</t>
  </si>
  <si>
    <t>2.12 100'S</t>
  </si>
  <si>
    <t>219.00 100ML</t>
  </si>
  <si>
    <t>279.00 100GM</t>
  </si>
  <si>
    <t>249.00 100ML</t>
  </si>
  <si>
    <t>299.00 100GM</t>
  </si>
  <si>
    <t>619.00 30ML</t>
  </si>
  <si>
    <t>1.76 15'S</t>
  </si>
  <si>
    <t>15.40 15'S</t>
  </si>
  <si>
    <t>139.69 20GM</t>
  </si>
  <si>
    <t>25.00 1'S</t>
  </si>
  <si>
    <t>5.00 1'S</t>
  </si>
  <si>
    <t>19.36 10'S</t>
  </si>
  <si>
    <t>9.80 10'S</t>
  </si>
  <si>
    <t>197.00 30GM</t>
  </si>
  <si>
    <t>120.00 250GM</t>
  </si>
  <si>
    <t>230.00 500GM</t>
  </si>
  <si>
    <t>40.00 125GM</t>
  </si>
  <si>
    <t>90.00 250GM</t>
  </si>
  <si>
    <t>150.00 500GM</t>
  </si>
  <si>
    <t>215.00 500GM</t>
  </si>
  <si>
    <t>280.00 1KG</t>
  </si>
  <si>
    <t>155.00 500GM</t>
  </si>
  <si>
    <t>21.92 10'S</t>
  </si>
  <si>
    <t>11.97 15'S</t>
  </si>
  <si>
    <t>6.75 10'S</t>
  </si>
  <si>
    <t>17.27 10'S</t>
  </si>
  <si>
    <t>225.94 30GM</t>
  </si>
  <si>
    <t>2.08 10'S</t>
  </si>
  <si>
    <t>8.77 15'S</t>
  </si>
  <si>
    <t>10.88 15'S</t>
  </si>
  <si>
    <t>12.73 15'S</t>
  </si>
  <si>
    <t>22.56 10'S</t>
  </si>
  <si>
    <t>15.97 10'S</t>
  </si>
  <si>
    <t>10.73 10'S</t>
  </si>
  <si>
    <t>15.00 10'S</t>
  </si>
  <si>
    <t>2.04 10'S</t>
  </si>
  <si>
    <t>85.00 8ML</t>
  </si>
  <si>
    <t>128.00 100ML</t>
  </si>
  <si>
    <t>156.40 100ML</t>
  </si>
  <si>
    <t>136.80 100ML</t>
  </si>
  <si>
    <t>141.95 100ML</t>
  </si>
  <si>
    <t>80.00 1'S</t>
  </si>
  <si>
    <t>19.83 10'S</t>
  </si>
  <si>
    <t>88.00 50GM</t>
  </si>
  <si>
    <t>525.00 100ML</t>
  </si>
  <si>
    <t>442.50 250ML</t>
  </si>
  <si>
    <t>500.00 60ML</t>
  </si>
  <si>
    <t>70.00 130'S</t>
  </si>
  <si>
    <t>2.50 1'S</t>
  </si>
  <si>
    <t>3.00 100'S</t>
  </si>
  <si>
    <t>325.00 10GM</t>
  </si>
  <si>
    <t>340.00 20GM</t>
  </si>
  <si>
    <t>398.00 30GM</t>
  </si>
  <si>
    <t>7.60 15'S</t>
  </si>
  <si>
    <t>340.00 60'S</t>
  </si>
  <si>
    <t>160.00 100GM</t>
  </si>
  <si>
    <t>64.00 125GM</t>
  </si>
  <si>
    <t>40.00 10GM</t>
  </si>
  <si>
    <t>100.00 50GM</t>
  </si>
  <si>
    <t>449.00 200ML</t>
  </si>
  <si>
    <t>109.00 50ML</t>
  </si>
  <si>
    <t>120.00 10GM</t>
  </si>
  <si>
    <t>15.47 10'S</t>
  </si>
  <si>
    <t>178.29 10ML</t>
  </si>
  <si>
    <t>40.00 100ML</t>
  </si>
  <si>
    <t>60.00 450ML</t>
  </si>
  <si>
    <t>298.78 10ML</t>
  </si>
  <si>
    <t>60.00 5ML</t>
  </si>
  <si>
    <t>2.37 10'S</t>
  </si>
  <si>
    <t>6.85 10'S</t>
  </si>
  <si>
    <t>477.00 100ML</t>
  </si>
  <si>
    <t>306.00 200ML</t>
  </si>
  <si>
    <t>153.00 100ML</t>
  </si>
  <si>
    <t>96.00 16GM</t>
  </si>
  <si>
    <t>180.00 40GM</t>
  </si>
  <si>
    <t>46.00 8GM</t>
  </si>
  <si>
    <t>135.94 100ML</t>
  </si>
  <si>
    <t>50.00 50ML</t>
  </si>
  <si>
    <t>36.95 10'S</t>
  </si>
  <si>
    <t>5.72 15'S</t>
  </si>
  <si>
    <t>22.80 15'S</t>
  </si>
  <si>
    <t>119.64 20GM</t>
  </si>
  <si>
    <t>24.77 4'S</t>
  </si>
  <si>
    <t>239.90 30GM</t>
  </si>
  <si>
    <t>23.57 14'S</t>
  </si>
  <si>
    <t>21.67 15'S</t>
  </si>
  <si>
    <t>23.75 15'S</t>
  </si>
  <si>
    <t>42.14 10'S</t>
  </si>
  <si>
    <t>58.70 10'S</t>
  </si>
  <si>
    <t>133.00 12'S</t>
  </si>
  <si>
    <t>135.00 150GM</t>
  </si>
  <si>
    <t>133.00 10ML</t>
  </si>
  <si>
    <t>10.08 10'S</t>
  </si>
  <si>
    <t>10.00 50'S</t>
  </si>
  <si>
    <t>BEIERSDORF INDIA LTD</t>
  </si>
  <si>
    <t>HIMALAYA COSMETICS</t>
  </si>
  <si>
    <t>INTAS PHARMACEUTICALS (PHARMA)</t>
  </si>
  <si>
    <t>ABBOTT INDIA LTD (NOVO NORDISK-E)</t>
  </si>
  <si>
    <t>ARIHANT ENTERPRISE</t>
  </si>
  <si>
    <t>SUPREME PHARMA</t>
  </si>
  <si>
    <t>JAGSONPAL PHARMACEUTICALS LTD</t>
  </si>
  <si>
    <t>GLAXO SMITHKLINE PHARMA LTD</t>
  </si>
  <si>
    <t>GENERAL C</t>
  </si>
  <si>
    <t>ETHINEXT PHARMA</t>
  </si>
  <si>
    <t>MSD PHARMACEUTICALS PVT LTD</t>
  </si>
  <si>
    <t>BOEHRINGER INGELHEIM (THAI) LTD</t>
  </si>
  <si>
    <t>JOHNSON &amp; JOHNSON</t>
  </si>
  <si>
    <t>PARIS DAKNER MICF</t>
  </si>
  <si>
    <t>JMS</t>
  </si>
  <si>
    <t xml:space="preserve"> JOHNSON &amp; JOHNSON</t>
  </si>
  <si>
    <t xml:space="preserve"> SUNWAYS INDIA PVT LTD</t>
  </si>
  <si>
    <t xml:space="preserve"> MAHARISHI AYUR CORP</t>
  </si>
  <si>
    <t xml:space="preserve"> MSD PHARMACEUTICALS PVT LTD</t>
  </si>
  <si>
    <t>HANSA PLAST</t>
  </si>
  <si>
    <t xml:space="preserve"> BEIERSDORF INDIA LTD</t>
  </si>
  <si>
    <t>BELLADONA PLASTERS LTD</t>
  </si>
  <si>
    <t xml:space="preserve"> H&amp;H PHARMA (DERMATOLOGY)</t>
  </si>
  <si>
    <t xml:space="preserve"> HIMALAYA COSMETICS</t>
  </si>
  <si>
    <t>HIMALAYA DRUGS (ZENITH)</t>
  </si>
  <si>
    <t>ICON LIFE SCIENCES (MESMER)</t>
  </si>
  <si>
    <t>GENIX PHARMA 2 (102)</t>
  </si>
  <si>
    <t>UNK MANUFACTURER ITEM</t>
  </si>
  <si>
    <t>MOSONS EXTRACTONS PVT LTD</t>
  </si>
  <si>
    <t>CIPLA LIMITED EXTENNA</t>
  </si>
  <si>
    <t xml:space="preserve"> SYSTOPIC LABORATORIES LIMITED</t>
  </si>
  <si>
    <t>MRHM PHARMA PVT. LTD</t>
  </si>
  <si>
    <t>SIDHBALI FORMULATIONS</t>
  </si>
  <si>
    <t>MACLEODS (PHARMA)</t>
  </si>
  <si>
    <t>ALKEM LAB (GENERIC) ALIVA</t>
  </si>
  <si>
    <t>UNIVERSAL LIFE CARE</t>
  </si>
  <si>
    <t>FIALLE PHARMACEUTICALS</t>
  </si>
  <si>
    <t>KOPRAN LIMITED</t>
  </si>
  <si>
    <t>PANBROSS PHARMACEUTICALS PVT LTD</t>
  </si>
  <si>
    <t>SITNEZ BIOCARE (P) LTD.</t>
  </si>
  <si>
    <t>NESTLE INDIA LTD</t>
  </si>
  <si>
    <t>GLAXO SMITHKLINE (TEAM 8 PEGASUS)</t>
  </si>
  <si>
    <t>SANOFI INDIA LIMITED (CARDIO RANGE)</t>
  </si>
  <si>
    <t>ROOFKART TRADING PVT LTD (I MED)</t>
  </si>
  <si>
    <t>IPCA LABORATORIES (ACTIVA)</t>
  </si>
  <si>
    <t>HETERO HEALTHCARE LTD</t>
  </si>
  <si>
    <t>DOLLAR COMPANY (PVT) LTD</t>
  </si>
  <si>
    <t>ABBOTT HEALTHCARE (MULTI THERAPY)</t>
  </si>
  <si>
    <t>WIN MEDICARE (OTC - WHC)</t>
  </si>
  <si>
    <t>SUN PHARMA (SYNERGY)</t>
  </si>
  <si>
    <t>HANSAPLAST</t>
  </si>
  <si>
    <t>BLUE CROSS LABORATORIES LTD</t>
  </si>
  <si>
    <t>HIMALAYA DRUG CO (ZANDRA)</t>
  </si>
  <si>
    <t>LIVIDUS PHARMA (LIVINOR)</t>
  </si>
  <si>
    <t>GENERAL A</t>
  </si>
  <si>
    <t>LIVKON PHARMACEUTICAL PVT LTD</t>
  </si>
  <si>
    <t>LIVEON HEALTHCARE PVT LTD</t>
  </si>
  <si>
    <t>ALTEUS BIOGENICS PVT LTD</t>
  </si>
  <si>
    <t>INTAS PHARMACEUTICALS (AYOKKA)</t>
  </si>
  <si>
    <t>UNIVA MEDICA</t>
  </si>
  <si>
    <t>INTAS PHARMACEUTICALS (ALAIRA)</t>
  </si>
  <si>
    <t>LOREAL INDIA PVT LTD</t>
  </si>
  <si>
    <t>LOTUS LAB</t>
  </si>
  <si>
    <t>NEON LABORATORIES LIMITED</t>
  </si>
  <si>
    <t>10.00 1'S</t>
  </si>
  <si>
    <t>543.00 20'S</t>
  </si>
  <si>
    <t>26.30 10'S</t>
  </si>
  <si>
    <t>143.00 75GM</t>
  </si>
  <si>
    <t>11.08 15'S</t>
  </si>
  <si>
    <t>2.34 200'S</t>
  </si>
  <si>
    <t>7.50 10'S</t>
  </si>
  <si>
    <t>15.29 10'S</t>
  </si>
  <si>
    <t>240.00 75GM</t>
  </si>
  <si>
    <t>531.00 50ML</t>
  </si>
  <si>
    <t>485.00 400GM</t>
  </si>
  <si>
    <t>249.00 1'S</t>
  </si>
  <si>
    <t>369.00 55GM</t>
  </si>
  <si>
    <t>369.00 50ML</t>
  </si>
  <si>
    <t>1.49 10'S</t>
  </si>
  <si>
    <t>6.48 10'S</t>
  </si>
  <si>
    <t>15.00 100'S</t>
  </si>
  <si>
    <t>30.28 10'S</t>
  </si>
  <si>
    <t>487.00 1'S</t>
  </si>
  <si>
    <t>286.00 1'S</t>
  </si>
  <si>
    <t>377.00 1'S</t>
  </si>
  <si>
    <t>156.00 1'S</t>
  </si>
  <si>
    <t>5.29 10'S</t>
  </si>
  <si>
    <t>135.00 40GM</t>
  </si>
  <si>
    <t>99.00 185ML</t>
  </si>
  <si>
    <t>16.49 10'S</t>
  </si>
  <si>
    <t>22.00 10'S</t>
  </si>
  <si>
    <t>3.73 15'S</t>
  </si>
  <si>
    <t>5.53 10'S</t>
  </si>
  <si>
    <t>250.00 200ML</t>
  </si>
  <si>
    <t>1799.00 1'S</t>
  </si>
  <si>
    <t>225.00 1'S</t>
  </si>
  <si>
    <t>21.82 20GM</t>
  </si>
  <si>
    <t>749.00 1'S</t>
  </si>
  <si>
    <t>2.50 100'S</t>
  </si>
  <si>
    <t>21.13 10'S</t>
  </si>
  <si>
    <t>7.04 15'S</t>
  </si>
  <si>
    <t>350.00 100ML</t>
  </si>
  <si>
    <t>218.00 18GM</t>
  </si>
  <si>
    <t>18.00 10'S</t>
  </si>
  <si>
    <t>216.00 5ML</t>
  </si>
  <si>
    <t>595.00 28ML</t>
  </si>
  <si>
    <t>415.00 50GM</t>
  </si>
  <si>
    <t>37.95 30ML</t>
  </si>
  <si>
    <t>37.95 30GM</t>
  </si>
  <si>
    <t>NITIN LIFESCIENCES LTD</t>
  </si>
  <si>
    <t>IPCA LABORATORIES (PHARMA)</t>
  </si>
  <si>
    <t>MAMTA PHA</t>
  </si>
  <si>
    <t>MAMICARE</t>
  </si>
  <si>
    <t>MAC &amp; GAYER (INDIA) PHARMA</t>
  </si>
  <si>
    <t>HONEYWELL INTERNATIONAL (INDIA) PVT</t>
  </si>
  <si>
    <t>UNKNOWN MANUFACTURER ITEM</t>
  </si>
  <si>
    <t>MEDOPHARMA</t>
  </si>
  <si>
    <t>EMAMI LTD</t>
  </si>
  <si>
    <t>SUN PHARMA (ORTUS)</t>
  </si>
  <si>
    <t>PFIZER LTD (INTIMA)</t>
  </si>
  <si>
    <t>SUN PHARMA (SOLARES)</t>
  </si>
  <si>
    <t>ARISTO PHARMA</t>
  </si>
  <si>
    <t>SUN PHARMA (RADIANT)</t>
  </si>
  <si>
    <t>INTAS PHARMACEUTICALS PVT LTD</t>
  </si>
  <si>
    <t>456.22 50GM</t>
  </si>
  <si>
    <t>275.00 30GM</t>
  </si>
  <si>
    <t>116.70 100ML</t>
  </si>
  <si>
    <t>269.00 100ML</t>
  </si>
  <si>
    <t>599.00 30ML</t>
  </si>
  <si>
    <t>349.00 150ML</t>
  </si>
  <si>
    <t>319.00 100ML</t>
  </si>
  <si>
    <t>499.00 50ML</t>
  </si>
  <si>
    <t>419.00 150ML</t>
  </si>
  <si>
    <t>259.00 100ML</t>
  </si>
  <si>
    <t>530.00 10GM</t>
  </si>
  <si>
    <t>2.23 15'S</t>
  </si>
  <si>
    <t>5.20 10'S</t>
  </si>
  <si>
    <t>9.06 10'S</t>
  </si>
  <si>
    <t>169.84 15GM</t>
  </si>
  <si>
    <t>22.95 30'S</t>
  </si>
  <si>
    <t>8.80 10'S</t>
  </si>
  <si>
    <t>424.59 3ML</t>
  </si>
  <si>
    <t>22.50 10'S</t>
  </si>
  <si>
    <t>71.08 VIAL</t>
  </si>
  <si>
    <t>21.50 10'S</t>
  </si>
  <si>
    <t>18.41 15'S</t>
  </si>
  <si>
    <t>25.24 15'S</t>
  </si>
  <si>
    <t>27.14 15'S</t>
  </si>
  <si>
    <t>26.21 10'S</t>
  </si>
  <si>
    <t>9.99 10'S</t>
  </si>
  <si>
    <t>230.00 35GM</t>
  </si>
  <si>
    <t>66.00 10GM</t>
  </si>
  <si>
    <t>180.00 30GM</t>
  </si>
  <si>
    <t>248.00 50GM</t>
  </si>
  <si>
    <t>328.96 10ML</t>
  </si>
  <si>
    <t>137.76 10ML</t>
  </si>
  <si>
    <t>250.00 30GM</t>
  </si>
  <si>
    <t>102.85 5GM</t>
  </si>
  <si>
    <t>349.00 250ML</t>
  </si>
  <si>
    <t>12.90 10'S</t>
  </si>
  <si>
    <t>35.00 75GM</t>
  </si>
  <si>
    <t>130.00 1'S</t>
  </si>
  <si>
    <t>10.00 1.2ML</t>
  </si>
  <si>
    <t>38.00 9.8ML</t>
  </si>
  <si>
    <t>325.00 20GM</t>
  </si>
  <si>
    <t>341.50 10GM</t>
  </si>
  <si>
    <t>21.28 10'S</t>
  </si>
  <si>
    <t>14.00 10'S</t>
  </si>
  <si>
    <t>24.87 15'S</t>
  </si>
  <si>
    <t>MICRO LAB (MICRO VISION)</t>
  </si>
  <si>
    <t>CIPLA LIMITED XTERNA</t>
  </si>
  <si>
    <t>ADMARK PHARMACEUTICALS PVT LTD</t>
  </si>
  <si>
    <t>CONSUMER ITEM</t>
  </si>
  <si>
    <t>3M INDIA LIMITED</t>
  </si>
  <si>
    <t>WOCKHARDT LIMITED</t>
  </si>
  <si>
    <t>121.00 20GM</t>
  </si>
  <si>
    <t>277.50 75GM</t>
  </si>
  <si>
    <t>230.00 50GM</t>
  </si>
  <si>
    <t>362.00 80GM</t>
  </si>
  <si>
    <t>247.00 10GM</t>
  </si>
  <si>
    <t>100.00 15GM</t>
  </si>
  <si>
    <t>138.00 10ML</t>
  </si>
  <si>
    <t>148.00 10ML</t>
  </si>
  <si>
    <t>213.04 10GM</t>
  </si>
  <si>
    <t>262.37 15GM</t>
  </si>
  <si>
    <t>130.65 100GM</t>
  </si>
  <si>
    <t>154.35 150GM</t>
  </si>
  <si>
    <t>29.02 10'S</t>
  </si>
  <si>
    <t>69.00 125GM</t>
  </si>
  <si>
    <t>75.00 150GM</t>
  </si>
  <si>
    <t>119.91 10ML</t>
  </si>
  <si>
    <t>119.91 15ML</t>
  </si>
  <si>
    <t>112.42 10ML</t>
  </si>
  <si>
    <t>75.00 100ML</t>
  </si>
  <si>
    <t>625.00 15GM</t>
  </si>
  <si>
    <t>144.75 10GM</t>
  </si>
  <si>
    <t>107.15 10GM</t>
  </si>
  <si>
    <t>21.78 2ML</t>
  </si>
  <si>
    <t>1.54 30'S</t>
  </si>
  <si>
    <t>19.90 10'S</t>
  </si>
  <si>
    <t>13.60 10'S</t>
  </si>
  <si>
    <t>3.77 15'S</t>
  </si>
  <si>
    <t>4.35 10'S</t>
  </si>
  <si>
    <t>7.02 10'S</t>
  </si>
  <si>
    <t>6.51 10'S</t>
  </si>
  <si>
    <t>24.01 20'S</t>
  </si>
  <si>
    <t>281.00 20GM</t>
  </si>
  <si>
    <t>399.00 100ML</t>
  </si>
  <si>
    <t>565.00 400ML</t>
  </si>
  <si>
    <t>275.00 100GM</t>
  </si>
  <si>
    <t>260.00 1'S</t>
  </si>
  <si>
    <t>249.00 65GM</t>
  </si>
  <si>
    <t>259.00 100GM</t>
  </si>
  <si>
    <t>290.00 100GM</t>
  </si>
  <si>
    <t>449.00 200GM</t>
  </si>
  <si>
    <t>5.78 10'S</t>
  </si>
  <si>
    <t>160.00 12GM</t>
  </si>
  <si>
    <t>150.00 25GM</t>
  </si>
  <si>
    <t>95.00 75GM</t>
  </si>
  <si>
    <t>310.00 150ML</t>
  </si>
  <si>
    <t>95.00 1'S</t>
  </si>
  <si>
    <t>181.50 75GM</t>
  </si>
  <si>
    <t>1405.31 1'S</t>
  </si>
  <si>
    <t>22.00 100ML</t>
  </si>
  <si>
    <t>RELYON HEALTH CARE</t>
  </si>
  <si>
    <t>AROMA LIFE SCIENCE</t>
  </si>
  <si>
    <t>RANBAXY LAB (REXTAR / MAXXIM)</t>
  </si>
  <si>
    <t>ALKEM LABORATORIES LIMITED</t>
  </si>
  <si>
    <t>XPERIA HEALTHCARE</t>
  </si>
  <si>
    <t>FDC LTD (LUMINA)</t>
  </si>
  <si>
    <t>SANOFI INDIA LIMITED (INTERNAL MEI)</t>
  </si>
  <si>
    <t>KARNATAKA SOAPS &amp; DETERGENT LTD</t>
  </si>
  <si>
    <t>MERCK LTD (CH CARE)</t>
  </si>
  <si>
    <t>SWASTIK</t>
  </si>
  <si>
    <t>RHOMBUS PHARMA PVT LTD</t>
  </si>
  <si>
    <t>GLAXO SMITHKLINE (TEAM 4 UNICORN)</t>
  </si>
  <si>
    <t>MERCK LTD (COMMUNITY CARE)</t>
  </si>
  <si>
    <t>MERCK LTD (BIOCARE)</t>
  </si>
  <si>
    <t>TORRENT PHARMA (PSYCAN - CND)</t>
  </si>
  <si>
    <t>AYURWIN</t>
  </si>
  <si>
    <t>NIVEA INDIA PVT LTD</t>
  </si>
  <si>
    <t>PETCARE VET</t>
  </si>
  <si>
    <t>PROVIMI ANIMAL NUTRITION INDIA</t>
  </si>
  <si>
    <t>ABBOTT INDIA LTD (NOVO NORDISK-N)</t>
  </si>
  <si>
    <t>DENIS CHEM-LAB LTD</t>
  </si>
  <si>
    <t>6.27 10'S</t>
  </si>
  <si>
    <t>149.00 150GM</t>
  </si>
  <si>
    <t>115.00 100GM</t>
  </si>
  <si>
    <t>40.00 10ML</t>
  </si>
  <si>
    <t>2.14 10'S</t>
  </si>
  <si>
    <t>7.59 10'S</t>
  </si>
  <si>
    <t>3.80 10'S</t>
  </si>
  <si>
    <t>523.00 50GM</t>
  </si>
  <si>
    <t>204.38 5ML</t>
  </si>
  <si>
    <t>3.22 20'S</t>
  </si>
  <si>
    <t>4.35 15'S</t>
  </si>
  <si>
    <t>146.40 30GM</t>
  </si>
  <si>
    <t>197.00 50GM</t>
  </si>
  <si>
    <t>90.00 10ML</t>
  </si>
  <si>
    <t>137.75 10ML</t>
  </si>
  <si>
    <t>85.00 100GM</t>
  </si>
  <si>
    <t>13.61 10'S</t>
  </si>
  <si>
    <t>23.28 15'S</t>
  </si>
  <si>
    <t>21.82 21GM</t>
  </si>
  <si>
    <t>32.04 200ML</t>
  </si>
  <si>
    <t>117.46 5ML</t>
  </si>
  <si>
    <t>50.00 5ML</t>
  </si>
  <si>
    <t>199.50 10ML</t>
  </si>
  <si>
    <t>128.84 10ML</t>
  </si>
  <si>
    <t>47.71 10ML</t>
  </si>
  <si>
    <t>21.40 15'S</t>
  </si>
  <si>
    <t>23.36 7'S</t>
  </si>
  <si>
    <t>17.86 7'S</t>
  </si>
  <si>
    <t>13.43 10'S</t>
  </si>
  <si>
    <t>24.84 10'S</t>
  </si>
  <si>
    <t>4.80 10'S</t>
  </si>
  <si>
    <t>12.47 15'S</t>
  </si>
  <si>
    <t>16.93 15'S</t>
  </si>
  <si>
    <t>56.50 VIAL</t>
  </si>
  <si>
    <t>21.69 10'S</t>
  </si>
  <si>
    <t>43.39 10'S</t>
  </si>
  <si>
    <t>11.95 10'S</t>
  </si>
  <si>
    <t>235.00 200ML</t>
  </si>
  <si>
    <t>12.03 15'S</t>
  </si>
  <si>
    <t>16.39 10'S</t>
  </si>
  <si>
    <t>54.00 100ML</t>
  </si>
  <si>
    <t>56.00 80GM</t>
  </si>
  <si>
    <t>110.00 250GM</t>
  </si>
  <si>
    <t>210.00 500GM</t>
  </si>
  <si>
    <t>221.57 1'S</t>
  </si>
  <si>
    <t>11.95 15'S</t>
  </si>
  <si>
    <t>9.58 10'S</t>
  </si>
  <si>
    <t>SYMBIOSIS PHARMA PVT LTD</t>
  </si>
  <si>
    <t>TORQUE PHARMACEUTICALS PVT LTD</t>
  </si>
  <si>
    <t>ALKEM LAB (DERMA CARE)</t>
  </si>
  <si>
    <t>AJANTA PHARMA (ANVAXX)</t>
  </si>
  <si>
    <t>OMEGA BIOTECH LIMITED</t>
  </si>
  <si>
    <t>DR REDDY'S LAB (AQURA SG)</t>
  </si>
  <si>
    <t>OVERSEAS (PHARMA)</t>
  </si>
  <si>
    <t>WINGS BIOTECH OTC (GENERIC)</t>
  </si>
  <si>
    <t>GERMAN REMEDIES LIMITED</t>
  </si>
  <si>
    <t>EMCURE PHARMA (PHARMA)</t>
  </si>
  <si>
    <t>JOHNSON &amp; JOHNSON (CONSUMER)</t>
  </si>
  <si>
    <t>CENTAUR PHARMACEUTICALS P LTD</t>
  </si>
  <si>
    <t>SYMBIOSIS PHARMA PVT LTD (COAST)</t>
  </si>
  <si>
    <t>JOHNSON &amp; JOHNSON (ETHNOR)</t>
  </si>
  <si>
    <t>NOVARTIS INDIA LTD</t>
  </si>
  <si>
    <t>SUN PHARMA (AVIOR)</t>
  </si>
  <si>
    <t>SUN PHARMA (AKUNA)</t>
  </si>
  <si>
    <t>WOCKHARDT LIMITED (MERIND)</t>
  </si>
  <si>
    <t>CIPLA LIMITED UROLOGY</t>
  </si>
  <si>
    <t>PRANSHU HEALTH CARE</t>
  </si>
  <si>
    <t>ABBOTT TRUE CARE 1 PHARMA PVT LTD</t>
  </si>
  <si>
    <t>PANACEA BIOTEC LTD</t>
  </si>
  <si>
    <t>RELIANCE FORMULATION PVT LTD</t>
  </si>
  <si>
    <t>PROCTER &amp; GAMBLE INDIA LTD</t>
  </si>
  <si>
    <t>MARICO</t>
  </si>
  <si>
    <t>PATANJALI AYURVED LIMITED</t>
  </si>
  <si>
    <t>ALEMBIC (GENERICS)</t>
  </si>
  <si>
    <t>CADILA PHARMA LTD (GENERIC)</t>
  </si>
  <si>
    <t>ALKEM LAB (ALPHA)</t>
  </si>
  <si>
    <t>INTAS PHARMACEUTICALS (GENERIC)</t>
  </si>
  <si>
    <t>LUPIN LABORATORIES LIMITED</t>
  </si>
  <si>
    <t>INDIAN IMMUNOLOGICALS LIMITED</t>
  </si>
  <si>
    <t>UNIROYAL BIOTECH</t>
  </si>
  <si>
    <t>ALKEM LAB (GENERIC) FUTURA</t>
  </si>
  <si>
    <t>MOREPEN LABORATORIES LTD</t>
  </si>
  <si>
    <t>WALLACE PHARMACEUTICALS LTD</t>
  </si>
  <si>
    <t>ADISYS HEALTHCARE</t>
  </si>
  <si>
    <t>RANBAXY LAB (PHARMA)</t>
  </si>
  <si>
    <t>TORRENT PHARMA (SPARSH)</t>
  </si>
  <si>
    <t>VIRBAC ANIMAL HEALTH INDIA PVT LTD</t>
  </si>
  <si>
    <t>ZYDUS PHARMA (MEDICA)</t>
  </si>
  <si>
    <t>ALEMBIC (MAXIS)</t>
  </si>
  <si>
    <t>MANKIND PHARMA PRIVATE LIMITED</t>
  </si>
  <si>
    <t>MICRO LAB (CARSYON CARDIAC)</t>
  </si>
  <si>
    <t>ABBOTT HEALTHCARE (GENERICS)</t>
  </si>
  <si>
    <t>AYURVEDIC</t>
  </si>
  <si>
    <t>AMRUTANJAN LIMITED</t>
  </si>
  <si>
    <t>CURATIO HEALTH CARE PVT LTD</t>
  </si>
  <si>
    <t>STELLAR BIO LABS</t>
  </si>
  <si>
    <t>ORDAIN (PERZISTA - CTF)</t>
  </si>
  <si>
    <t>UNICHEM LAB (UNISEARCH INTEGRA)</t>
  </si>
  <si>
    <t>SARABHAI PIRAMAL PHARMA LTD</t>
  </si>
  <si>
    <t>GLENMARK (MAJESTA)</t>
  </si>
  <si>
    <t>DR REDDY'S LAB (GRANDERA)</t>
  </si>
  <si>
    <t>GERMAN REMEDIES LIMITED (GENERIC)</t>
  </si>
  <si>
    <t>GSKCH EXPERT</t>
  </si>
  <si>
    <t>GLAXO SMITHKLINE (TEAM 6 P&amp;CC)</t>
  </si>
  <si>
    <t>JUNIFER PHARMACEUTICALS</t>
  </si>
  <si>
    <t>ALEMBIC (MEGACARE)</t>
  </si>
  <si>
    <t>BAIDYANATH AYURVEDA BHAVAN LTD</t>
  </si>
  <si>
    <t>BAJAJ SEVASRAM LTD</t>
  </si>
  <si>
    <t>ROMSONS</t>
  </si>
  <si>
    <t>LUPIN PHARMA (SYNOX)</t>
  </si>
  <si>
    <t>BECTON DICKINSON (I) PVT LTD</t>
  </si>
  <si>
    <t>BD INDIA PVT LTD</t>
  </si>
  <si>
    <t>PFIZER LTD (PHARMA)</t>
  </si>
  <si>
    <t>PFIZER LTD</t>
  </si>
  <si>
    <t>ASTAMED HEALTHCARE PVT LTD</t>
  </si>
  <si>
    <t>BIOLOGICAL EVANS LIMITED</t>
  </si>
  <si>
    <t>EMCURE PHARMA (ZUVENTUS)</t>
  </si>
  <si>
    <t>ADCOCK INGRAM HEALTHCARE PVT LTD</t>
  </si>
  <si>
    <t>BIOVITAMINS PRIVATE LIMITED</t>
  </si>
  <si>
    <t>Tablets</t>
  </si>
  <si>
    <t>Syrups</t>
  </si>
  <si>
    <t>Vaccines</t>
  </si>
  <si>
    <t>Others</t>
  </si>
  <si>
    <t>Injections</t>
  </si>
  <si>
    <t>DISCOUNT (%)</t>
  </si>
  <si>
    <t>CUSTOMER SEGMENT</t>
  </si>
  <si>
    <t>Column Labels</t>
  </si>
  <si>
    <t>Grand Total</t>
  </si>
  <si>
    <t>Sum of QTY</t>
  </si>
  <si>
    <t>Total Sum of QTY</t>
  </si>
  <si>
    <t>Total Sum of AMOUNT</t>
  </si>
  <si>
    <t>Sum of AMOUNT</t>
  </si>
  <si>
    <t>Row Labels</t>
  </si>
  <si>
    <t>BULK/HOSPITALS</t>
  </si>
  <si>
    <t>REGULAR</t>
  </si>
  <si>
    <t>RETAIL</t>
  </si>
  <si>
    <t>SUMIF</t>
  </si>
  <si>
    <t>COUNTIF</t>
  </si>
  <si>
    <t>(All)</t>
  </si>
  <si>
    <t>Sum of DISCOUNT (%)</t>
  </si>
  <si>
    <t>TABLETS</t>
  </si>
  <si>
    <t>VACCINES</t>
  </si>
  <si>
    <t>SYRUPS</t>
  </si>
  <si>
    <t>OTHERS</t>
  </si>
  <si>
    <t>TOTAL</t>
  </si>
  <si>
    <t>INJECTIONS</t>
  </si>
  <si>
    <t>BULK/HOSPITAL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</si>
</sst>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4">
    <xf numFmtId="0" fontId="0" fillId="0" borderId="0" xfId="0"/>
    <xf numFmtId="14" fontId="0" fillId="0" borderId="0" xfId="0" applyNumberFormat="1"/>
    <xf numFmtId="0" fontId="1" fillId="0" borderId="1" xfId="0" applyFont="1" applyBorder="1" applyAlignment="1">
      <alignment horizontal="center" vertical="top"/>
    </xf>
    <xf numFmtId="0" fontId="1" fillId="0" borderId="1" xfId="0" applyFont="1" applyBorder="1"/>
    <xf numFmtId="0" fontId="1" fillId="0" borderId="1" xfId="0" applyFont="1" applyFill="1" applyBorder="1"/>
    <xf numFmtId="0" fontId="0" fillId="0" borderId="1" xfId="0" applyBorder="1"/>
    <xf numFmtId="14" fontId="0" fillId="0" borderId="1" xfId="0" applyNumberFormat="1" applyBorder="1"/>
    <xf numFmtId="0" fontId="2" fillId="0" borderId="1" xfId="0" applyFont="1" applyBorder="1" applyAlignment="1">
      <alignment vertical="center"/>
    </xf>
    <xf numFmtId="0" fontId="0" fillId="0" borderId="0" xfId="0" pivotButton="1"/>
    <xf numFmtId="0" fontId="0" fillId="0" borderId="0" xfId="0" applyNumberFormat="1"/>
    <xf numFmtId="0" fontId="0" fillId="0" borderId="0" xfId="0" applyAlignment="1">
      <alignment horizontal="left"/>
    </xf>
    <xf numFmtId="0" fontId="0" fillId="0" borderId="2" xfId="0" applyBorder="1"/>
    <xf numFmtId="0" fontId="0" fillId="0" borderId="1" xfId="0" applyFill="1" applyBorder="1"/>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OF MEDICAL.xlsx]Sheet1!PivotTable1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s>
    <c:plotArea>
      <c:layout/>
      <c:pieChart>
        <c:varyColors val="1"/>
        <c:ser>
          <c:idx val="0"/>
          <c:order val="0"/>
          <c:tx>
            <c:strRef>
              <c:f>Sheet1!$B$1:$B$3</c:f>
              <c:strCache>
                <c:ptCount val="1"/>
                <c:pt idx="0">
                  <c:v>Injections - Sum of AMOUNT</c:v>
                </c:pt>
              </c:strCache>
            </c:strRef>
          </c:tx>
          <c:dPt>
            <c:idx val="0"/>
            <c:bubble3D val="0"/>
            <c:spPr>
              <a:solidFill>
                <a:schemeClr val="accent1"/>
              </a:solidFill>
              <a:ln>
                <a:noFill/>
              </a:ln>
              <a:effectLst/>
            </c:spPr>
            <c:extLst>
              <c:ext xmlns:c16="http://schemas.microsoft.com/office/drawing/2014/chart" uri="{C3380CC4-5D6E-409C-BE32-E72D297353CC}">
                <c16:uniqueId val="{00000001-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03-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05-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Sheet1!$B$4:$B$7</c:f>
              <c:numCache>
                <c:formatCode>General</c:formatCode>
                <c:ptCount val="3"/>
                <c:pt idx="0">
                  <c:v>2461.7799999999997</c:v>
                </c:pt>
                <c:pt idx="1">
                  <c:v>1893.1799999999998</c:v>
                </c:pt>
                <c:pt idx="2">
                  <c:v>1323.18</c:v>
                </c:pt>
              </c:numCache>
            </c:numRef>
          </c:val>
          <c:extLst>
            <c:ext xmlns:c16="http://schemas.microsoft.com/office/drawing/2014/chart" uri="{C3380CC4-5D6E-409C-BE32-E72D297353CC}">
              <c16:uniqueId val="{00000000-7C00-477F-98E5-DDD04FB9307D}"/>
            </c:ext>
          </c:extLst>
        </c:ser>
        <c:ser>
          <c:idx val="1"/>
          <c:order val="1"/>
          <c:tx>
            <c:strRef>
              <c:f>Sheet1!$C$1:$C$3</c:f>
              <c:strCache>
                <c:ptCount val="1"/>
                <c:pt idx="0">
                  <c:v>Injections - Sum of QTY</c:v>
                </c:pt>
              </c:strCache>
            </c:strRef>
          </c:tx>
          <c:dPt>
            <c:idx val="0"/>
            <c:bubble3D val="0"/>
            <c:spPr>
              <a:solidFill>
                <a:schemeClr val="accent1"/>
              </a:solidFill>
              <a:ln>
                <a:noFill/>
              </a:ln>
              <a:effectLst/>
            </c:spPr>
            <c:extLst>
              <c:ext xmlns:c16="http://schemas.microsoft.com/office/drawing/2014/chart" uri="{C3380CC4-5D6E-409C-BE32-E72D297353CC}">
                <c16:uniqueId val="{00000007-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09-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0B-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Sheet1!$C$4:$C$7</c:f>
              <c:numCache>
                <c:formatCode>General</c:formatCode>
                <c:ptCount val="3"/>
                <c:pt idx="0">
                  <c:v>121</c:v>
                </c:pt>
                <c:pt idx="1">
                  <c:v>39</c:v>
                </c:pt>
                <c:pt idx="2">
                  <c:v>9</c:v>
                </c:pt>
              </c:numCache>
            </c:numRef>
          </c:val>
          <c:extLst>
            <c:ext xmlns:c16="http://schemas.microsoft.com/office/drawing/2014/chart" uri="{C3380CC4-5D6E-409C-BE32-E72D297353CC}">
              <c16:uniqueId val="{00000001-7C00-477F-98E5-DDD04FB9307D}"/>
            </c:ext>
          </c:extLst>
        </c:ser>
        <c:ser>
          <c:idx val="2"/>
          <c:order val="2"/>
          <c:tx>
            <c:strRef>
              <c:f>Sheet1!$D$1:$D$3</c:f>
              <c:strCache>
                <c:ptCount val="1"/>
                <c:pt idx="0">
                  <c:v>Others - Sum of AMOUNT</c:v>
                </c:pt>
              </c:strCache>
            </c:strRef>
          </c:tx>
          <c:dPt>
            <c:idx val="0"/>
            <c:bubble3D val="0"/>
            <c:spPr>
              <a:solidFill>
                <a:schemeClr val="accent1"/>
              </a:solidFill>
              <a:ln>
                <a:noFill/>
              </a:ln>
              <a:effectLst/>
            </c:spPr>
            <c:extLst>
              <c:ext xmlns:c16="http://schemas.microsoft.com/office/drawing/2014/chart" uri="{C3380CC4-5D6E-409C-BE32-E72D297353CC}">
                <c16:uniqueId val="{0000000D-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0F-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11-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Sheet1!$D$4:$D$7</c:f>
              <c:numCache>
                <c:formatCode>General</c:formatCode>
                <c:ptCount val="3"/>
                <c:pt idx="0">
                  <c:v>190151.22999999998</c:v>
                </c:pt>
                <c:pt idx="1">
                  <c:v>171057.81999999995</c:v>
                </c:pt>
                <c:pt idx="2">
                  <c:v>66815.560000000012</c:v>
                </c:pt>
              </c:numCache>
            </c:numRef>
          </c:val>
          <c:extLst>
            <c:ext xmlns:c16="http://schemas.microsoft.com/office/drawing/2014/chart" uri="{C3380CC4-5D6E-409C-BE32-E72D297353CC}">
              <c16:uniqueId val="{00000002-7C00-477F-98E5-DDD04FB9307D}"/>
            </c:ext>
          </c:extLst>
        </c:ser>
        <c:ser>
          <c:idx val="3"/>
          <c:order val="3"/>
          <c:tx>
            <c:strRef>
              <c:f>Sheet1!$E$1:$E$3</c:f>
              <c:strCache>
                <c:ptCount val="1"/>
                <c:pt idx="0">
                  <c:v>Others - Sum of QTY</c:v>
                </c:pt>
              </c:strCache>
            </c:strRef>
          </c:tx>
          <c:dPt>
            <c:idx val="0"/>
            <c:bubble3D val="0"/>
            <c:spPr>
              <a:solidFill>
                <a:schemeClr val="accent1"/>
              </a:solidFill>
              <a:ln>
                <a:noFill/>
              </a:ln>
              <a:effectLst/>
            </c:spPr>
            <c:extLst>
              <c:ext xmlns:c16="http://schemas.microsoft.com/office/drawing/2014/chart" uri="{C3380CC4-5D6E-409C-BE32-E72D297353CC}">
                <c16:uniqueId val="{00000013-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15-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17-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Sheet1!$E$4:$E$7</c:f>
              <c:numCache>
                <c:formatCode>General</c:formatCode>
                <c:ptCount val="3"/>
                <c:pt idx="0">
                  <c:v>5926</c:v>
                </c:pt>
                <c:pt idx="1">
                  <c:v>1223</c:v>
                </c:pt>
                <c:pt idx="2">
                  <c:v>249</c:v>
                </c:pt>
              </c:numCache>
            </c:numRef>
          </c:val>
          <c:extLst>
            <c:ext xmlns:c16="http://schemas.microsoft.com/office/drawing/2014/chart" uri="{C3380CC4-5D6E-409C-BE32-E72D297353CC}">
              <c16:uniqueId val="{00000003-7C00-477F-98E5-DDD04FB9307D}"/>
            </c:ext>
          </c:extLst>
        </c:ser>
        <c:ser>
          <c:idx val="4"/>
          <c:order val="4"/>
          <c:tx>
            <c:strRef>
              <c:f>Sheet1!$F$1:$F$3</c:f>
              <c:strCache>
                <c:ptCount val="1"/>
                <c:pt idx="0">
                  <c:v>Syrups - Sum of AMOUNT</c:v>
                </c:pt>
              </c:strCache>
            </c:strRef>
          </c:tx>
          <c:dPt>
            <c:idx val="0"/>
            <c:bubble3D val="0"/>
            <c:spPr>
              <a:solidFill>
                <a:schemeClr val="accent1"/>
              </a:solidFill>
              <a:ln>
                <a:noFill/>
              </a:ln>
              <a:effectLst/>
            </c:spPr>
            <c:extLst>
              <c:ext xmlns:c16="http://schemas.microsoft.com/office/drawing/2014/chart" uri="{C3380CC4-5D6E-409C-BE32-E72D297353CC}">
                <c16:uniqueId val="{00000019-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1B-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1D-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Sheet1!$F$4:$F$7</c:f>
              <c:numCache>
                <c:formatCode>General</c:formatCode>
                <c:ptCount val="3"/>
                <c:pt idx="1">
                  <c:v>8726.6299999999992</c:v>
                </c:pt>
                <c:pt idx="2">
                  <c:v>3183.3199999999997</c:v>
                </c:pt>
              </c:numCache>
            </c:numRef>
          </c:val>
          <c:extLst>
            <c:ext xmlns:c16="http://schemas.microsoft.com/office/drawing/2014/chart" uri="{C3380CC4-5D6E-409C-BE32-E72D297353CC}">
              <c16:uniqueId val="{00000004-7C00-477F-98E5-DDD04FB9307D}"/>
            </c:ext>
          </c:extLst>
        </c:ser>
        <c:ser>
          <c:idx val="5"/>
          <c:order val="5"/>
          <c:tx>
            <c:strRef>
              <c:f>Sheet1!$G$1:$G$3</c:f>
              <c:strCache>
                <c:ptCount val="1"/>
                <c:pt idx="0">
                  <c:v>Syrups - Sum of QTY</c:v>
                </c:pt>
              </c:strCache>
            </c:strRef>
          </c:tx>
          <c:dPt>
            <c:idx val="0"/>
            <c:bubble3D val="0"/>
            <c:spPr>
              <a:solidFill>
                <a:schemeClr val="accent1"/>
              </a:solidFill>
              <a:ln>
                <a:noFill/>
              </a:ln>
              <a:effectLst/>
            </c:spPr>
            <c:extLst>
              <c:ext xmlns:c16="http://schemas.microsoft.com/office/drawing/2014/chart" uri="{C3380CC4-5D6E-409C-BE32-E72D297353CC}">
                <c16:uniqueId val="{0000001F-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21-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23-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Sheet1!$G$4:$G$7</c:f>
              <c:numCache>
                <c:formatCode>General</c:formatCode>
                <c:ptCount val="3"/>
                <c:pt idx="1">
                  <c:v>56</c:v>
                </c:pt>
                <c:pt idx="2">
                  <c:v>19</c:v>
                </c:pt>
              </c:numCache>
            </c:numRef>
          </c:val>
          <c:extLst>
            <c:ext xmlns:c16="http://schemas.microsoft.com/office/drawing/2014/chart" uri="{C3380CC4-5D6E-409C-BE32-E72D297353CC}">
              <c16:uniqueId val="{0000000A-7C00-477F-98E5-DDD04FB9307D}"/>
            </c:ext>
          </c:extLst>
        </c:ser>
        <c:ser>
          <c:idx val="6"/>
          <c:order val="6"/>
          <c:tx>
            <c:strRef>
              <c:f>Sheet1!$H$1:$H$3</c:f>
              <c:strCache>
                <c:ptCount val="1"/>
                <c:pt idx="0">
                  <c:v>Tablets - Sum of AMOUNT</c:v>
                </c:pt>
              </c:strCache>
            </c:strRef>
          </c:tx>
          <c:dPt>
            <c:idx val="0"/>
            <c:bubble3D val="0"/>
            <c:spPr>
              <a:solidFill>
                <a:schemeClr val="accent1"/>
              </a:solidFill>
              <a:ln>
                <a:noFill/>
              </a:ln>
              <a:effectLst/>
            </c:spPr>
            <c:extLst>
              <c:ext xmlns:c16="http://schemas.microsoft.com/office/drawing/2014/chart" uri="{C3380CC4-5D6E-409C-BE32-E72D297353CC}">
                <c16:uniqueId val="{00000025-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27-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29-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Sheet1!$H$4:$H$7</c:f>
              <c:numCache>
                <c:formatCode>General</c:formatCode>
                <c:ptCount val="3"/>
                <c:pt idx="0">
                  <c:v>217740.18000000005</c:v>
                </c:pt>
                <c:pt idx="1">
                  <c:v>12286.519999999999</c:v>
                </c:pt>
                <c:pt idx="2">
                  <c:v>913.07999999999993</c:v>
                </c:pt>
              </c:numCache>
            </c:numRef>
          </c:val>
          <c:extLst>
            <c:ext xmlns:c16="http://schemas.microsoft.com/office/drawing/2014/chart" uri="{C3380CC4-5D6E-409C-BE32-E72D297353CC}">
              <c16:uniqueId val="{0000000B-7C00-477F-98E5-DDD04FB9307D}"/>
            </c:ext>
          </c:extLst>
        </c:ser>
        <c:ser>
          <c:idx val="7"/>
          <c:order val="7"/>
          <c:tx>
            <c:strRef>
              <c:f>Sheet1!$I$1:$I$3</c:f>
              <c:strCache>
                <c:ptCount val="1"/>
                <c:pt idx="0">
                  <c:v>Tablets - Sum of QTY</c:v>
                </c:pt>
              </c:strCache>
            </c:strRef>
          </c:tx>
          <c:dPt>
            <c:idx val="0"/>
            <c:bubble3D val="0"/>
            <c:spPr>
              <a:solidFill>
                <a:schemeClr val="accent1"/>
              </a:solidFill>
              <a:ln>
                <a:noFill/>
              </a:ln>
              <a:effectLst/>
            </c:spPr>
            <c:extLst>
              <c:ext xmlns:c16="http://schemas.microsoft.com/office/drawing/2014/chart" uri="{C3380CC4-5D6E-409C-BE32-E72D297353CC}">
                <c16:uniqueId val="{0000002B-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2D-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2F-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Sheet1!$I$4:$I$7</c:f>
              <c:numCache>
                <c:formatCode>General</c:formatCode>
                <c:ptCount val="3"/>
                <c:pt idx="0">
                  <c:v>17115</c:v>
                </c:pt>
                <c:pt idx="1">
                  <c:v>834</c:v>
                </c:pt>
                <c:pt idx="2">
                  <c:v>6</c:v>
                </c:pt>
              </c:numCache>
            </c:numRef>
          </c:val>
          <c:extLst>
            <c:ext xmlns:c16="http://schemas.microsoft.com/office/drawing/2014/chart" uri="{C3380CC4-5D6E-409C-BE32-E72D297353CC}">
              <c16:uniqueId val="{0000000C-7C00-477F-98E5-DDD04FB9307D}"/>
            </c:ext>
          </c:extLst>
        </c:ser>
        <c:ser>
          <c:idx val="8"/>
          <c:order val="8"/>
          <c:tx>
            <c:strRef>
              <c:f>Sheet1!$J$1:$J$3</c:f>
              <c:strCache>
                <c:ptCount val="1"/>
                <c:pt idx="0">
                  <c:v>Vaccines - Sum of AMOUNT</c:v>
                </c:pt>
              </c:strCache>
            </c:strRef>
          </c:tx>
          <c:dPt>
            <c:idx val="0"/>
            <c:bubble3D val="0"/>
            <c:spPr>
              <a:solidFill>
                <a:schemeClr val="accent1"/>
              </a:solidFill>
              <a:ln>
                <a:noFill/>
              </a:ln>
              <a:effectLst/>
            </c:spPr>
            <c:extLst>
              <c:ext xmlns:c16="http://schemas.microsoft.com/office/drawing/2014/chart" uri="{C3380CC4-5D6E-409C-BE32-E72D297353CC}">
                <c16:uniqueId val="{00000031-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33-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35-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Sheet1!$J$4:$J$7</c:f>
              <c:numCache>
                <c:formatCode>General</c:formatCode>
                <c:ptCount val="3"/>
                <c:pt idx="1">
                  <c:v>79.86</c:v>
                </c:pt>
                <c:pt idx="2">
                  <c:v>795.24</c:v>
                </c:pt>
              </c:numCache>
            </c:numRef>
          </c:val>
          <c:extLst>
            <c:ext xmlns:c16="http://schemas.microsoft.com/office/drawing/2014/chart" uri="{C3380CC4-5D6E-409C-BE32-E72D297353CC}">
              <c16:uniqueId val="{0000000D-7C00-477F-98E5-DDD04FB9307D}"/>
            </c:ext>
          </c:extLst>
        </c:ser>
        <c:ser>
          <c:idx val="9"/>
          <c:order val="9"/>
          <c:tx>
            <c:strRef>
              <c:f>Sheet1!$K$1:$K$3</c:f>
              <c:strCache>
                <c:ptCount val="1"/>
                <c:pt idx="0">
                  <c:v>Vaccines - Sum of QTY</c:v>
                </c:pt>
              </c:strCache>
            </c:strRef>
          </c:tx>
          <c:dPt>
            <c:idx val="0"/>
            <c:bubble3D val="0"/>
            <c:spPr>
              <a:solidFill>
                <a:schemeClr val="accent1"/>
              </a:solidFill>
              <a:ln>
                <a:noFill/>
              </a:ln>
              <a:effectLst/>
            </c:spPr>
            <c:extLst>
              <c:ext xmlns:c16="http://schemas.microsoft.com/office/drawing/2014/chart" uri="{C3380CC4-5D6E-409C-BE32-E72D297353CC}">
                <c16:uniqueId val="{00000037-1650-499A-9C8E-37D4A9723E0C}"/>
              </c:ext>
            </c:extLst>
          </c:dPt>
          <c:dPt>
            <c:idx val="1"/>
            <c:bubble3D val="0"/>
            <c:spPr>
              <a:solidFill>
                <a:schemeClr val="accent2"/>
              </a:solidFill>
              <a:ln>
                <a:noFill/>
              </a:ln>
              <a:effectLst/>
            </c:spPr>
            <c:extLst>
              <c:ext xmlns:c16="http://schemas.microsoft.com/office/drawing/2014/chart" uri="{C3380CC4-5D6E-409C-BE32-E72D297353CC}">
                <c16:uniqueId val="{00000039-1650-499A-9C8E-37D4A9723E0C}"/>
              </c:ext>
            </c:extLst>
          </c:dPt>
          <c:dPt>
            <c:idx val="2"/>
            <c:bubble3D val="0"/>
            <c:spPr>
              <a:solidFill>
                <a:schemeClr val="accent3"/>
              </a:solidFill>
              <a:ln>
                <a:noFill/>
              </a:ln>
              <a:effectLst/>
            </c:spPr>
            <c:extLst>
              <c:ext xmlns:c16="http://schemas.microsoft.com/office/drawing/2014/chart" uri="{C3380CC4-5D6E-409C-BE32-E72D297353CC}">
                <c16:uniqueId val="{0000003B-1650-499A-9C8E-37D4A972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BULK/HOSPITALS</c:v>
                </c:pt>
                <c:pt idx="1">
                  <c:v>REGULAR</c:v>
                </c:pt>
                <c:pt idx="2">
                  <c:v>RETAIL</c:v>
                </c:pt>
              </c:strCache>
            </c:strRef>
          </c:cat>
          <c:val>
            <c:numRef>
              <c:f>Sheet1!$K$4:$K$7</c:f>
              <c:numCache>
                <c:formatCode>General</c:formatCode>
                <c:ptCount val="3"/>
                <c:pt idx="1">
                  <c:v>6</c:v>
                </c:pt>
                <c:pt idx="2">
                  <c:v>2</c:v>
                </c:pt>
              </c:numCache>
            </c:numRef>
          </c:val>
          <c:extLst>
            <c:ext xmlns:c16="http://schemas.microsoft.com/office/drawing/2014/chart" uri="{C3380CC4-5D6E-409C-BE32-E72D297353CC}">
              <c16:uniqueId val="{0000000E-7C00-477F-98E5-DDD04FB930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REPORT OF MEDICAL.xlsx]Sheet1!PivotTable2</c:name>
    <c:fmtId val="0"/>
  </c:pivotSource>
  <c:chart>
    <c:autoTitleDeleted val="0"/>
    <c:pivotFmts>
      <c:pivotFmt>
        <c:idx val="0"/>
      </c:pivotFmt>
      <c:pivotFmt>
        <c:idx val="1"/>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Sheet1!$B$25:$B$26</c:f>
              <c:strCache>
                <c:ptCount val="1"/>
                <c:pt idx="0">
                  <c:v>Injections</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Sheet1!$A$27:$A$30</c:f>
              <c:strCache>
                <c:ptCount val="3"/>
                <c:pt idx="0">
                  <c:v>BULK/HOSPITALS</c:v>
                </c:pt>
                <c:pt idx="1">
                  <c:v>REGULAR</c:v>
                </c:pt>
                <c:pt idx="2">
                  <c:v>RETAIL</c:v>
                </c:pt>
              </c:strCache>
            </c:strRef>
          </c:cat>
          <c:val>
            <c:numRef>
              <c:f>Sheet1!$B$27:$B$30</c:f>
              <c:numCache>
                <c:formatCode>General</c:formatCode>
                <c:ptCount val="3"/>
                <c:pt idx="0">
                  <c:v>15</c:v>
                </c:pt>
                <c:pt idx="1">
                  <c:v>14</c:v>
                </c:pt>
                <c:pt idx="2">
                  <c:v>12</c:v>
                </c:pt>
              </c:numCache>
            </c:numRef>
          </c:val>
          <c:extLst>
            <c:ext xmlns:c16="http://schemas.microsoft.com/office/drawing/2014/chart" uri="{C3380CC4-5D6E-409C-BE32-E72D297353CC}">
              <c16:uniqueId val="{00000000-025E-454D-9918-470471E0B025}"/>
            </c:ext>
          </c:extLst>
        </c:ser>
        <c:ser>
          <c:idx val="1"/>
          <c:order val="1"/>
          <c:tx>
            <c:strRef>
              <c:f>Sheet1!$C$25:$C$26</c:f>
              <c:strCache>
                <c:ptCount val="1"/>
                <c:pt idx="0">
                  <c:v>Others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Sheet1!$A$27:$A$30</c:f>
              <c:strCache>
                <c:ptCount val="3"/>
                <c:pt idx="0">
                  <c:v>BULK/HOSPITALS</c:v>
                </c:pt>
                <c:pt idx="1">
                  <c:v>REGULAR</c:v>
                </c:pt>
                <c:pt idx="2">
                  <c:v>RETAIL</c:v>
                </c:pt>
              </c:strCache>
            </c:strRef>
          </c:cat>
          <c:val>
            <c:numRef>
              <c:f>Sheet1!$C$27:$C$30</c:f>
              <c:numCache>
                <c:formatCode>General</c:formatCode>
                <c:ptCount val="3"/>
                <c:pt idx="0">
                  <c:v>478</c:v>
                </c:pt>
                <c:pt idx="1">
                  <c:v>477</c:v>
                </c:pt>
                <c:pt idx="2">
                  <c:v>382</c:v>
                </c:pt>
              </c:numCache>
            </c:numRef>
          </c:val>
          <c:extLst>
            <c:ext xmlns:c16="http://schemas.microsoft.com/office/drawing/2014/chart" uri="{C3380CC4-5D6E-409C-BE32-E72D297353CC}">
              <c16:uniqueId val="{00000001-025E-454D-9918-470471E0B025}"/>
            </c:ext>
          </c:extLst>
        </c:ser>
        <c:ser>
          <c:idx val="2"/>
          <c:order val="2"/>
          <c:tx>
            <c:strRef>
              <c:f>Sheet1!$D$25:$D$26</c:f>
              <c:strCache>
                <c:ptCount val="1"/>
                <c:pt idx="0">
                  <c:v>Syrups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Sheet1!$A$27:$A$30</c:f>
              <c:strCache>
                <c:ptCount val="3"/>
                <c:pt idx="0">
                  <c:v>BULK/HOSPITALS</c:v>
                </c:pt>
                <c:pt idx="1">
                  <c:v>REGULAR</c:v>
                </c:pt>
                <c:pt idx="2">
                  <c:v>RETAIL</c:v>
                </c:pt>
              </c:strCache>
            </c:strRef>
          </c:cat>
          <c:val>
            <c:numRef>
              <c:f>Sheet1!$D$27:$D$30</c:f>
              <c:numCache>
                <c:formatCode>General</c:formatCode>
                <c:ptCount val="3"/>
                <c:pt idx="1">
                  <c:v>19</c:v>
                </c:pt>
                <c:pt idx="2">
                  <c:v>30</c:v>
                </c:pt>
              </c:numCache>
            </c:numRef>
          </c:val>
          <c:extLst>
            <c:ext xmlns:c16="http://schemas.microsoft.com/office/drawing/2014/chart" uri="{C3380CC4-5D6E-409C-BE32-E72D297353CC}">
              <c16:uniqueId val="{00000002-025E-454D-9918-470471E0B025}"/>
            </c:ext>
          </c:extLst>
        </c:ser>
        <c:dLbls>
          <c:dLblPos val="outEnd"/>
          <c:showLegendKey val="0"/>
          <c:showVal val="1"/>
          <c:showCatName val="0"/>
          <c:showSerName val="0"/>
          <c:showPercent val="0"/>
          <c:showBubbleSize val="0"/>
        </c:dLbls>
        <c:gapWidth val="100"/>
        <c:axId val="1005805343"/>
        <c:axId val="1120465023"/>
      </c:barChart>
      <c:lineChart>
        <c:grouping val="standard"/>
        <c:varyColors val="0"/>
        <c:ser>
          <c:idx val="3"/>
          <c:order val="3"/>
          <c:tx>
            <c:strRef>
              <c:f>Sheet1!$E$25:$E$26</c:f>
              <c:strCache>
                <c:ptCount val="1"/>
                <c:pt idx="0">
                  <c:v>Tablets</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Sheet1!$A$27:$A$30</c:f>
              <c:strCache>
                <c:ptCount val="3"/>
                <c:pt idx="0">
                  <c:v>BULK/HOSPITALS</c:v>
                </c:pt>
                <c:pt idx="1">
                  <c:v>REGULAR</c:v>
                </c:pt>
                <c:pt idx="2">
                  <c:v>RETAIL</c:v>
                </c:pt>
              </c:strCache>
            </c:strRef>
          </c:cat>
          <c:val>
            <c:numRef>
              <c:f>Sheet1!$E$27:$E$30</c:f>
              <c:numCache>
                <c:formatCode>General</c:formatCode>
                <c:ptCount val="3"/>
                <c:pt idx="0">
                  <c:v>829</c:v>
                </c:pt>
                <c:pt idx="1">
                  <c:v>300</c:v>
                </c:pt>
                <c:pt idx="2">
                  <c:v>12</c:v>
                </c:pt>
              </c:numCache>
            </c:numRef>
          </c:val>
          <c:smooth val="0"/>
          <c:extLst>
            <c:ext xmlns:c16="http://schemas.microsoft.com/office/drawing/2014/chart" uri="{C3380CC4-5D6E-409C-BE32-E72D297353CC}">
              <c16:uniqueId val="{00000003-025E-454D-9918-470471E0B025}"/>
            </c:ext>
          </c:extLst>
        </c:ser>
        <c:ser>
          <c:idx val="4"/>
          <c:order val="4"/>
          <c:tx>
            <c:strRef>
              <c:f>Sheet1!$F$25:$F$26</c:f>
              <c:strCache>
                <c:ptCount val="1"/>
                <c:pt idx="0">
                  <c:v>Vaccines</c:v>
                </c:pt>
              </c:strCache>
            </c:strRef>
          </c:tx>
          <c:spPr>
            <a:ln w="34925" cap="rnd">
              <a:solidFill>
                <a:schemeClr val="accent4">
                  <a:tint val="54000"/>
                </a:schemeClr>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Sheet1!$A$27:$A$30</c:f>
              <c:strCache>
                <c:ptCount val="3"/>
                <c:pt idx="0">
                  <c:v>BULK/HOSPITALS</c:v>
                </c:pt>
                <c:pt idx="1">
                  <c:v>REGULAR</c:v>
                </c:pt>
                <c:pt idx="2">
                  <c:v>RETAIL</c:v>
                </c:pt>
              </c:strCache>
            </c:strRef>
          </c:cat>
          <c:val>
            <c:numRef>
              <c:f>Sheet1!$F$27:$F$30</c:f>
              <c:numCache>
                <c:formatCode>General</c:formatCode>
                <c:ptCount val="3"/>
                <c:pt idx="1">
                  <c:v>2</c:v>
                </c:pt>
                <c:pt idx="2">
                  <c:v>2</c:v>
                </c:pt>
              </c:numCache>
            </c:numRef>
          </c:val>
          <c:smooth val="0"/>
          <c:extLst>
            <c:ext xmlns:c16="http://schemas.microsoft.com/office/drawing/2014/chart" uri="{C3380CC4-5D6E-409C-BE32-E72D297353CC}">
              <c16:uniqueId val="{00000004-025E-454D-9918-470471E0B025}"/>
            </c:ext>
          </c:extLst>
        </c:ser>
        <c:dLbls>
          <c:showLegendKey val="0"/>
          <c:showVal val="0"/>
          <c:showCatName val="0"/>
          <c:showSerName val="0"/>
          <c:showPercent val="0"/>
          <c:showBubbleSize val="0"/>
        </c:dLbls>
        <c:marker val="1"/>
        <c:smooth val="0"/>
        <c:axId val="1005805343"/>
        <c:axId val="1120465023"/>
      </c:lineChart>
      <c:catAx>
        <c:axId val="1005805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465023"/>
        <c:crosses val="autoZero"/>
        <c:auto val="1"/>
        <c:lblAlgn val="ctr"/>
        <c:lblOffset val="100"/>
        <c:noMultiLvlLbl val="0"/>
      </c:catAx>
      <c:valAx>
        <c:axId val="1120465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80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OF MEDICAL.xlsx]Sheet1!PivotTable3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Sheet1!$B$42</c:f>
              <c:strCache>
                <c:ptCount val="1"/>
                <c:pt idx="0">
                  <c:v>Sum of QTY</c:v>
                </c:pt>
              </c:strCache>
            </c:strRef>
          </c:tx>
          <c:spPr>
            <a:solidFill>
              <a:schemeClr val="accent1"/>
            </a:solidFill>
            <a:ln>
              <a:noFill/>
            </a:ln>
            <a:effectLst/>
          </c:spPr>
          <c:invertIfNegative val="0"/>
          <c:cat>
            <c:strRef>
              <c:f>Sheet1!$A$43:$A$48</c:f>
              <c:strCache>
                <c:ptCount val="5"/>
                <c:pt idx="0">
                  <c:v>Injections</c:v>
                </c:pt>
                <c:pt idx="1">
                  <c:v>Others</c:v>
                </c:pt>
                <c:pt idx="2">
                  <c:v>Syrups</c:v>
                </c:pt>
                <c:pt idx="3">
                  <c:v>Tablets</c:v>
                </c:pt>
                <c:pt idx="4">
                  <c:v>Vaccines</c:v>
                </c:pt>
              </c:strCache>
            </c:strRef>
          </c:cat>
          <c:val>
            <c:numRef>
              <c:f>Sheet1!$B$43:$B$48</c:f>
              <c:numCache>
                <c:formatCode>General</c:formatCode>
                <c:ptCount val="5"/>
                <c:pt idx="0">
                  <c:v>169</c:v>
                </c:pt>
                <c:pt idx="1">
                  <c:v>7398</c:v>
                </c:pt>
                <c:pt idx="2">
                  <c:v>75</c:v>
                </c:pt>
                <c:pt idx="3">
                  <c:v>17955</c:v>
                </c:pt>
                <c:pt idx="4">
                  <c:v>8</c:v>
                </c:pt>
              </c:numCache>
            </c:numRef>
          </c:val>
          <c:extLst>
            <c:ext xmlns:c16="http://schemas.microsoft.com/office/drawing/2014/chart" uri="{C3380CC4-5D6E-409C-BE32-E72D297353CC}">
              <c16:uniqueId val="{00000000-4945-4C3A-B72B-ABED7F933E98}"/>
            </c:ext>
          </c:extLst>
        </c:ser>
        <c:ser>
          <c:idx val="1"/>
          <c:order val="1"/>
          <c:tx>
            <c:strRef>
              <c:f>Sheet1!$C$42</c:f>
              <c:strCache>
                <c:ptCount val="1"/>
                <c:pt idx="0">
                  <c:v>Sum of AMOUNT</c:v>
                </c:pt>
              </c:strCache>
            </c:strRef>
          </c:tx>
          <c:spPr>
            <a:solidFill>
              <a:schemeClr val="accent2"/>
            </a:solidFill>
            <a:ln>
              <a:noFill/>
            </a:ln>
            <a:effectLst/>
          </c:spPr>
          <c:invertIfNegative val="0"/>
          <c:cat>
            <c:strRef>
              <c:f>Sheet1!$A$43:$A$48</c:f>
              <c:strCache>
                <c:ptCount val="5"/>
                <c:pt idx="0">
                  <c:v>Injections</c:v>
                </c:pt>
                <c:pt idx="1">
                  <c:v>Others</c:v>
                </c:pt>
                <c:pt idx="2">
                  <c:v>Syrups</c:v>
                </c:pt>
                <c:pt idx="3">
                  <c:v>Tablets</c:v>
                </c:pt>
                <c:pt idx="4">
                  <c:v>Vaccines</c:v>
                </c:pt>
              </c:strCache>
            </c:strRef>
          </c:cat>
          <c:val>
            <c:numRef>
              <c:f>Sheet1!$C$43:$C$48</c:f>
              <c:numCache>
                <c:formatCode>General</c:formatCode>
                <c:ptCount val="5"/>
                <c:pt idx="0">
                  <c:v>5678.1399999999994</c:v>
                </c:pt>
                <c:pt idx="1">
                  <c:v>428024.61000000028</c:v>
                </c:pt>
                <c:pt idx="2">
                  <c:v>11909.95</c:v>
                </c:pt>
                <c:pt idx="3">
                  <c:v>230939.78000000012</c:v>
                </c:pt>
                <c:pt idx="4">
                  <c:v>875.1</c:v>
                </c:pt>
              </c:numCache>
            </c:numRef>
          </c:val>
          <c:extLst>
            <c:ext xmlns:c16="http://schemas.microsoft.com/office/drawing/2014/chart" uri="{C3380CC4-5D6E-409C-BE32-E72D297353CC}">
              <c16:uniqueId val="{00000001-4945-4C3A-B72B-ABED7F933E98}"/>
            </c:ext>
          </c:extLst>
        </c:ser>
        <c:dLbls>
          <c:showLegendKey val="0"/>
          <c:showVal val="0"/>
          <c:showCatName val="0"/>
          <c:showSerName val="0"/>
          <c:showPercent val="0"/>
          <c:showBubbleSize val="0"/>
        </c:dLbls>
        <c:gapWidth val="219"/>
        <c:axId val="1161537231"/>
        <c:axId val="1120479167"/>
      </c:barChart>
      <c:catAx>
        <c:axId val="11615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79167"/>
        <c:crosses val="autoZero"/>
        <c:auto val="1"/>
        <c:lblAlgn val="ctr"/>
        <c:lblOffset val="100"/>
        <c:noMultiLvlLbl val="0"/>
      </c:catAx>
      <c:valAx>
        <c:axId val="11204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3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581025</xdr:colOff>
      <xdr:row>7</xdr:row>
      <xdr:rowOff>76200</xdr:rowOff>
    </xdr:from>
    <xdr:to>
      <xdr:col>7</xdr:col>
      <xdr:colOff>571500</xdr:colOff>
      <xdr:row>20</xdr:row>
      <xdr:rowOff>152400</xdr:rowOff>
    </xdr:to>
    <xdr:graphicFrame macro="">
      <xdr:nvGraphicFramePr>
        <xdr:cNvPr id="2" name="Chart 1">
          <a:extLst>
            <a:ext uri="{FF2B5EF4-FFF2-40B4-BE49-F238E27FC236}">
              <a16:creationId xmlns:a16="http://schemas.microsoft.com/office/drawing/2014/main" id="{3ADBB649-5165-4765-A68D-BC7A82BB8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21</xdr:row>
      <xdr:rowOff>14286</xdr:rowOff>
    </xdr:from>
    <xdr:to>
      <xdr:col>11</xdr:col>
      <xdr:colOff>828675</xdr:colOff>
      <xdr:row>38</xdr:row>
      <xdr:rowOff>57149</xdr:rowOff>
    </xdr:to>
    <xdr:graphicFrame macro="">
      <xdr:nvGraphicFramePr>
        <xdr:cNvPr id="3" name="Chart 2">
          <a:extLst>
            <a:ext uri="{FF2B5EF4-FFF2-40B4-BE49-F238E27FC236}">
              <a16:creationId xmlns:a16="http://schemas.microsoft.com/office/drawing/2014/main" id="{8982A8EB-E67E-4D87-A386-45C936372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40</xdr:row>
      <xdr:rowOff>85724</xdr:rowOff>
    </xdr:from>
    <xdr:to>
      <xdr:col>9</xdr:col>
      <xdr:colOff>685800</xdr:colOff>
      <xdr:row>53</xdr:row>
      <xdr:rowOff>100011</xdr:rowOff>
    </xdr:to>
    <xdr:graphicFrame macro="">
      <xdr:nvGraphicFramePr>
        <xdr:cNvPr id="4" name="Chart 3">
          <a:extLst>
            <a:ext uri="{FF2B5EF4-FFF2-40B4-BE49-F238E27FC236}">
              <a16:creationId xmlns:a16="http://schemas.microsoft.com/office/drawing/2014/main" id="{66DD8F2C-40D3-4265-96F2-4ABDF18CC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885825</xdr:colOff>
      <xdr:row>25</xdr:row>
      <xdr:rowOff>0</xdr:rowOff>
    </xdr:from>
    <xdr:to>
      <xdr:col>13</xdr:col>
      <xdr:colOff>228600</xdr:colOff>
      <xdr:row>38</xdr:row>
      <xdr:rowOff>47625</xdr:rowOff>
    </xdr:to>
    <mc:AlternateContent xmlns:mc="http://schemas.openxmlformats.org/markup-compatibility/2006" xmlns:a14="http://schemas.microsoft.com/office/drawing/2010/main">
      <mc:Choice Requires="a14">
        <xdr:graphicFrame macro="">
          <xdr:nvGraphicFramePr>
            <xdr:cNvPr id="5" name="ORDER DATE">
              <a:extLst>
                <a:ext uri="{FF2B5EF4-FFF2-40B4-BE49-F238E27FC236}">
                  <a16:creationId xmlns:a16="http://schemas.microsoft.com/office/drawing/2014/main" id="{1B8CFB9A-982E-49ED-B085-2F76BEAE69D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9829800" y="476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092.884380902775" createdVersion="6" refreshedVersion="6" minRefreshableVersion="3" recordCount="622" xr:uid="{AF753BBC-280A-42A2-8541-13565FEA889E}">
  <cacheSource type="worksheet">
    <worksheetSource ref="A1:J623" sheet="Sheet2"/>
  </cacheSource>
  <cacheFields count="10">
    <cacheField name="ORDER ID" numFmtId="0">
      <sharedItems containsSemiMixedTypes="0" containsString="0" containsNumber="1" containsInteger="1" minValue="5001" maxValue="5622" count="622">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sharedItems>
    </cacheField>
    <cacheField name="ORDER DATE" numFmtId="14">
      <sharedItems containsSemiMixedTypes="0" containsNonDate="0" containsDate="1" containsString="0" minDate="2025-04-01T00:00:00" maxDate="2025-09-29T00:00:00" count="143">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4T00:00:00"/>
        <d v="2025-07-05T00:00:00"/>
        <d v="2025-07-06T00:00:00"/>
        <d v="2025-07-07T00:00:00"/>
        <d v="2025-07-08T00:00:00"/>
        <d v="2025-07-09T00:00:00"/>
        <d v="2025-07-11T00:00:00"/>
        <d v="2025-07-12T00:00:00"/>
        <d v="2025-07-13T00:00:00"/>
        <d v="2025-07-14T00:00:00"/>
        <d v="2025-07-15T00:00:00"/>
        <d v="2025-07-16T00:00:00"/>
        <d v="2025-07-18T00:00:00"/>
        <d v="2025-07-19T00:00:00"/>
        <d v="2025-07-20T00:00:00"/>
        <d v="2025-07-21T00:00:00"/>
        <d v="2025-07-22T00:00:00"/>
        <d v="2025-07-23T00:00:00"/>
        <d v="2025-07-25T00:00:00"/>
        <d v="2025-07-26T00:00:00"/>
        <d v="2025-07-27T00:00:00"/>
        <d v="2025-07-28T00:00:00"/>
        <d v="2025-07-29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5T00:00:00"/>
        <d v="2025-09-26T00:00:00"/>
        <d v="2025-09-27T00:00:00"/>
        <d v="2025-09-28T00:00:00"/>
      </sharedItems>
    </cacheField>
    <cacheField name="ITEM NAME" numFmtId="0">
      <sharedItems/>
    </cacheField>
    <cacheField name="PRODUCT SEGMENT" numFmtId="0">
      <sharedItems count="5">
        <s v="Tablets"/>
        <s v="Syrups"/>
        <s v="Vaccines"/>
        <s v="Others"/>
        <s v="Injections"/>
      </sharedItems>
    </cacheField>
    <cacheField name="DISCOUNT (%)" numFmtId="0">
      <sharedItems containsSemiMixedTypes="0" containsString="0" containsNumber="1" containsInteger="1" minValue="2" maxValue="10"/>
    </cacheField>
    <cacheField name="MRP/PACK NAME" numFmtId="0">
      <sharedItems count="589">
        <s v="12.80 15'S"/>
        <s v="210.00 200ML"/>
        <s v="45.47 1'S"/>
        <s v="17.14 10'S"/>
        <s v="397.62 VIAL"/>
        <s v="13.08 0.5ML"/>
        <s v="175.00 120GM"/>
        <s v="9.40 10'S"/>
        <s v="9.79 10'S"/>
        <s v="16.06 10'S"/>
        <s v="7.54 10'S"/>
        <s v="13.20 10'S"/>
        <s v="14.88 10'S"/>
        <s v="588.00 75GM"/>
        <s v="120.00 22GM"/>
        <s v="110.00 75GM"/>
        <s v="11.80 10'S"/>
        <s v="360.00 15GM"/>
        <s v="26.38 6'S"/>
        <s v="629.00 1'S"/>
        <s v="572.00 1'S"/>
        <s v="565.00 100GM"/>
        <s v="798.00 100ML"/>
        <s v="365.00 500ML"/>
        <s v="34.96 10'S"/>
        <s v="2.01 10'S"/>
        <s v="120.00 100ML"/>
        <s v="129.94 100ML"/>
        <s v="2.73 15'S"/>
        <s v="8.24 10'S"/>
        <s v="8.24 15'S"/>
        <s v="6.97 10'S"/>
        <s v="3.96 15'S"/>
        <s v="6.21 15'S"/>
        <s v="2.80 30'S"/>
        <s v="17.07 15'S"/>
        <s v="30.99 10'S"/>
        <s v="20.49 10'S"/>
        <s v="1300.00 1LTR"/>
        <s v="94.00 50ML"/>
        <s v="104.00 25GM"/>
        <s v="150.00 45GM"/>
        <s v="45.00 1'S"/>
        <s v="66.00 10ML"/>
        <s v="44.00 9GM"/>
        <s v="1390.00 60ML"/>
        <s v="28.00 10'S"/>
        <s v="9.58 25'S"/>
        <s v="525.00 1'S"/>
        <s v="10.63 30'S"/>
        <s v="10.91 10'S"/>
        <s v="148.00 200ML"/>
        <s v="3.21 30’S"/>
        <s v="248.90 100ML"/>
        <s v="168.50 120ML"/>
        <s v="154.50 100ML"/>
        <s v="144.84 100ML"/>
        <s v="110.00 100ML"/>
        <s v="180.05 200MD"/>
        <s v="7.77 2ML"/>
        <s v="65.26 60’S"/>
        <s v="3.85 15’S"/>
        <s v="6.88 15’S"/>
        <s v="5.57 15’S"/>
        <s v="10.38 10’S"/>
        <s v="20.84 6’S"/>
        <s v="20.49 10’S"/>
        <s v="20.84 10’S"/>
        <s v="67.54 30ML"/>
        <s v="6.26 2ML"/>
        <s v="35.09 14’S"/>
        <s v="26.40 5’S"/>
        <s v="4.73 10’S"/>
        <s v="20.50 10’S"/>
        <s v="145.00 200GM"/>
        <s v="165.00 200ML"/>
        <s v="225.00 300ML"/>
        <s v="40.00 10’S"/>
        <s v="20.00 1’S"/>
        <s v="40.80 1’S"/>
        <s v="640.80 3ML"/>
        <s v="10.30 1ML"/>
        <s v="20.60 5’S"/>
        <s v="1.87 60’S"/>
        <s v="3.12 20’S"/>
        <s v="22.00 1’S"/>
        <s v="170.00 150ML"/>
        <s v="147.62 20GM"/>
        <s v="109.76 100ML"/>
        <s v="334.00 100ML"/>
        <s v="754.69 250GM"/>
        <s v="13.31 0.5ML"/>
        <s v="13.09 0.5ML"/>
        <s v="201.40 200ML"/>
        <s v="21.96 10’S"/>
        <s v="19.31 10’S"/>
        <s v="16.94 10’S"/>
        <s v="17.13 10’S"/>
        <s v="23.60 10’S"/>
        <s v="20.70 10’S"/>
        <s v="90.00 25GM"/>
        <s v="20.30 10’S"/>
        <s v="4.33 15’S"/>
        <s v="30.50 10’S"/>
        <s v="165.00 80GM"/>
        <s v="45.00 20GM"/>
        <s v="90.00 40GM"/>
        <s v="189.25 100ML"/>
        <s v="157.25 100ML"/>
        <s v="0.80 15’S"/>
        <s v="22.57 10’S"/>
        <s v="26.65 2ML"/>
        <s v="99.15 15GM"/>
        <s v="14.05 15’S"/>
        <s v="231.00 100ML"/>
        <s v="33.63 4’S"/>
        <s v="283.00 100ML"/>
        <s v="453.00 100ML"/>
        <s v="1.00 15’S"/>
        <s v="106.00 5ML"/>
        <s v="182.00 20GM"/>
        <s v="100.80 30GM"/>
        <s v="174.00 120GM"/>
        <s v="139.00 120GM"/>
        <s v="14.46 10’S"/>
        <s v="24.77 10’S"/>
        <s v="52.00 10ML"/>
        <s v="57.60 10’S"/>
        <s v="950.00 400ML"/>
        <s v="669.00 75GM"/>
        <s v="769.00 250ML"/>
        <s v="429.00 125ML"/>
        <s v="669.00 80GM"/>
        <s v="1099.00 250ML"/>
        <s v="699.00 125ML"/>
        <s v="1313.00 100ML"/>
        <s v="8.47 10’S"/>
        <s v="23.39 20’S"/>
        <s v="4.75 10’S"/>
        <s v="17.73 15’S"/>
        <s v="23.66 15’S"/>
        <s v="19.58 15’S"/>
        <s v="4.41 10’S"/>
        <s v="48.00 100GM"/>
        <s v="45.00 100GM"/>
        <s v="6.98 15’S"/>
        <s v="205.70 125GM"/>
        <s v="71.65 20GM"/>
        <s v="3.00 1’S"/>
        <s v="90.03 10GM"/>
        <s v="2.46 10’S"/>
        <s v="17.58 10ML"/>
        <s v="4.75 10'S"/>
        <s v="15.73 10'S"/>
        <s v="15.01 15'S"/>
        <s v="20.85 10'S"/>
        <s v="17.17 10'S"/>
        <s v="195.00 20GM"/>
        <s v="369.00 15GM"/>
        <s v="88.50 10ML"/>
        <s v="393.00 400ML"/>
        <s v="92.81 15GM"/>
        <s v="128.45 15GM"/>
        <s v="134.20 20GM"/>
        <s v="262.50 200ML"/>
        <s v="20.00 5ML"/>
        <s v="106.00 100GM"/>
        <s v="8.28 15'S"/>
        <s v="3.80 1'S"/>
        <s v="3.50 10'S"/>
        <s v="99.00 100ML"/>
        <s v="12.66 10'S"/>
        <s v="136.00 150GM"/>
        <s v="150.00 22GM"/>
        <s v="185.00 250ML"/>
        <s v="90.00 1'S"/>
        <s v="190.00 150GM"/>
        <s v="190.00 120GM"/>
        <s v="190.00 100GM"/>
        <s v="99.00 50GM"/>
        <s v="27.55 10'S"/>
        <s v="2.79 20'S"/>
        <s v="13.22 10'S"/>
        <s v="7.23 10'S"/>
        <s v="48.00 1'S"/>
        <s v="40.00 1'S"/>
        <s v="18.00 15GM"/>
        <s v="37.00 30GM"/>
        <s v="63.00 60GM"/>
        <s v="19.77 10'S"/>
        <s v="80.00 25GM"/>
        <s v="311.95 30GM"/>
        <s v="2.25 15'S"/>
        <s v="3.35 10'S"/>
        <s v="471.55 150GM"/>
        <s v="265.00 30GM"/>
        <s v="6.34 20'S"/>
        <s v="149.00 200ML"/>
        <s v="3.90 6'S"/>
        <s v="10.34 10'S"/>
        <s v="32.89 4'S"/>
        <s v="105.00 180ML"/>
        <s v="240.00 500GM"/>
        <s v="92.00 250ML"/>
        <s v="125.00 100ML"/>
        <s v="127.00 150GM"/>
        <s v="10.00 11GM"/>
        <s v="15.60 10’S"/>
        <s v="4.33 10’S"/>
        <s v="18.73 15’S"/>
        <s v="11.20 15’S"/>
        <s v="28.76 15’S"/>
        <s v="1.35 30’S"/>
        <s v="249.00 10ML"/>
        <s v="299.00 100ML"/>
        <s v="220.00 125GM"/>
        <s v="338.00 100ML"/>
        <s v="456.00 150GM"/>
        <s v="252.00 80GM"/>
        <s v="300.00 100ML"/>
        <s v="189.00 75GM"/>
        <s v="54.45 15GM"/>
        <s v="208.88 100ML"/>
        <s v="28.31 10’S"/>
        <s v="260.00 10GM"/>
        <s v="83.03 125ML"/>
        <s v="170.00 250ML"/>
        <s v="41.49 60ML"/>
        <s v="267.09 500ML"/>
        <s v="100.00 150GM"/>
        <s v="30.00 48ML"/>
        <s v="99.00 200ML"/>
        <s v="100.00 125GM"/>
        <s v="50.00 75GM"/>
        <s v="90.00 125GM"/>
        <s v="15.00 10’S"/>
        <s v="103.10 15GM"/>
        <s v="11.40 10’S"/>
        <s v="229.86 50GM"/>
        <s v="244.45 75ML"/>
        <s v="22.69 15’S"/>
        <s v="5.65 3ML"/>
        <s v="1.95 15’S"/>
        <s v="349.00 1’S"/>
        <s v="115.00 30GM"/>
        <s v="4.00 1’S"/>
        <s v="2.40 1’S"/>
        <s v="8.40 2.5ML"/>
        <s v="28.13 20ML"/>
        <s v="8.80 3ML"/>
        <s v="61.00 50ML"/>
        <s v="2.29 15'S"/>
        <s v="4.15 10'S"/>
        <s v="116.71 10GM"/>
        <s v="119.75 15GM"/>
        <s v="4.20 15'S"/>
        <s v="8.90 10'S"/>
        <s v="16.20 15'S"/>
        <s v="9.30 15'S"/>
        <s v="285.00 175ML"/>
        <s v="75.00 75GM"/>
        <s v="490.00 340ML"/>
        <s v="224.00 180ML"/>
        <s v="246.00 200ML"/>
        <s v="355.00 400ML"/>
        <s v="67.00 100GM"/>
        <s v="11.50 10'S"/>
        <s v="8.00 10'S"/>
        <s v="399.00 30ML"/>
        <s v="2099.00 1'S"/>
        <s v="137.15 3ML"/>
        <s v="27.43 5'S"/>
        <s v="9.05 10'S"/>
        <s v="43.56 1ML"/>
        <s v="6.85 15'S"/>
        <s v="7.92 15'S"/>
        <s v="5.05 10'S"/>
        <s v="8.17 10'S"/>
        <s v="178.13 15GM"/>
        <s v="418.25 15GM"/>
        <s v="566.00 30GM"/>
        <s v="0.39 14'S"/>
        <s v="5.23 10'S"/>
        <s v="6.68 10'S"/>
        <s v="16.69 15'S"/>
        <s v="12.40 15'S"/>
        <s v="1620.00 1'S"/>
        <s v="4.25 10'S"/>
        <s v="23.05 21.8GM"/>
        <s v="4.23 10'S"/>
        <s v="131.00 200ML"/>
        <s v="5.76 10'S"/>
        <s v="290.25 20GM"/>
        <s v="11.00 5GM"/>
        <s v="10.00 60'S"/>
        <s v="872.03 400GM"/>
        <s v="379.69 5GM"/>
        <s v="17.20 10'S"/>
        <s v="11.00 10'S"/>
        <s v="2.01 120'S"/>
        <s v="18.62 15'S"/>
        <s v="120.00 10ML"/>
        <s v="11.02 15'S"/>
        <s v="110.10 10GM"/>
        <s v="24.08 15'S"/>
        <s v="2.12 100'S"/>
        <s v="219.00 100ML"/>
        <s v="279.00 100GM"/>
        <s v="249.00 100ML"/>
        <s v="299.00 100GM"/>
        <s v="619.00 30ML"/>
        <s v="1.76 15'S"/>
        <s v="15.40 15'S"/>
        <s v="139.69 20GM"/>
        <s v="25.00 1'S"/>
        <s v="5.00 1'S"/>
        <s v="19.36 10'S"/>
        <s v="9.80 10'S"/>
        <s v="197.00 30GM"/>
        <s v="120.00 250GM"/>
        <s v="230.00 500GM"/>
        <s v="40.00 125GM"/>
        <s v="90.00 250GM"/>
        <s v="150.00 500GM"/>
        <s v="215.00 500GM"/>
        <s v="280.00 1KG"/>
        <s v="155.00 500GM"/>
        <s v="21.92 10'S"/>
        <s v="11.97 15'S"/>
        <s v="6.75 10'S"/>
        <s v="17.27 10'S"/>
        <s v="225.94 30GM"/>
        <s v="2.08 10'S"/>
        <s v="8.77 15'S"/>
        <s v="10.88 15'S"/>
        <s v="12.73 15'S"/>
        <s v="22.56 10'S"/>
        <s v="15.97 10'S"/>
        <s v="10.73 10'S"/>
        <s v="15.00 10'S"/>
        <s v="2.04 10'S"/>
        <s v="85.00 8ML"/>
        <s v="128.00 100ML"/>
        <s v="156.40 100ML"/>
        <s v="136.80 100ML"/>
        <s v="141.95 100ML"/>
        <s v="80.00 1'S"/>
        <s v="19.83 10'S"/>
        <s v="88.00 50GM"/>
        <s v="525.00 100ML"/>
        <s v="442.50 250ML"/>
        <s v="500.00 60ML"/>
        <s v="70.00 130'S"/>
        <s v="2.50 1'S"/>
        <s v="3.00 1'S"/>
        <s v="3.00 100'S"/>
        <s v="325.00 10GM"/>
        <s v="340.00 20GM"/>
        <s v="398.00 30GM"/>
        <s v="7.60 15'S"/>
        <s v="340.00 60'S"/>
        <s v="160.00 100GM"/>
        <s v="64.00 125GM"/>
        <s v="40.00 10GM"/>
        <s v="100.00 50GM"/>
        <s v="449.00 200ML"/>
        <s v="109.00 50ML"/>
        <s v="120.00 10GM"/>
        <s v="15.47 10'S"/>
        <s v="178.29 10ML"/>
        <s v="40.00 100ML"/>
        <s v="60.00 450ML"/>
        <s v="298.78 10ML"/>
        <s v="60.00 5ML"/>
        <s v="2.37 10'S"/>
        <s v="6.85 10'S"/>
        <s v="477.00 100ML"/>
        <s v="306.00 200ML"/>
        <s v="153.00 100ML"/>
        <s v="96.00 16GM"/>
        <s v="180.00 40GM"/>
        <s v="46.00 8GM"/>
        <s v="135.94 100ML"/>
        <s v="50.00 50ML"/>
        <s v="36.95 10'S"/>
        <s v="5.72 15'S"/>
        <s v="22.80 15'S"/>
        <s v="119.64 20GM"/>
        <s v="24.77 4'S"/>
        <s v="24.77 10'S"/>
        <s v="239.90 30GM"/>
        <s v="23.57 14'S"/>
        <s v="21.67 15'S"/>
        <s v="23.75 15'S"/>
        <s v="42.14 10'S"/>
        <s v="58.70 10'S"/>
        <s v="133.00 12'S"/>
        <s v="135.00 150GM"/>
        <s v="133.00 10ML"/>
        <s v="10.08 10'S"/>
        <s v="10.00 50'S"/>
        <s v="10.00 1'S"/>
        <s v="543.00 20'S"/>
        <s v="26.30 10'S"/>
        <s v="143.00 75GM"/>
        <s v="11.08 15'S"/>
        <s v="2.34 200'S"/>
        <s v="7.50 10'S"/>
        <s v="15.29 10'S"/>
        <s v="240.00 75GM"/>
        <s v="531.00 50ML"/>
        <s v="485.00 400GM"/>
        <s v="249.00 1'S"/>
        <s v="369.00 55GM"/>
        <s v="369.00 50ML"/>
        <s v="1.49 10'S"/>
        <s v="6.48 10'S"/>
        <s v="15.00 100'S"/>
        <s v="30.28 10'S"/>
        <s v="487.00 1'S"/>
        <s v="286.00 1'S"/>
        <s v="377.00 1'S"/>
        <s v="156.00 1'S"/>
        <s v="5.29 10'S"/>
        <s v="135.00 40GM"/>
        <s v="99.00 185ML"/>
        <s v="16.49 10'S"/>
        <s v="22.00 1'S"/>
        <s v="22.00 10'S"/>
        <s v="3.73 15'S"/>
        <s v="5.53 10'S"/>
        <s v="250.00 200ML"/>
        <s v="1799.00 1'S"/>
        <s v="225.00 1'S"/>
        <s v="21.82 20GM"/>
        <s v="749.00 1'S"/>
        <s v="2.50 100'S"/>
        <s v="21.13 10'S"/>
        <s v="7.04 15'S"/>
        <s v="350.00 100ML"/>
        <s v="218.00 18GM"/>
        <s v="18.00 10'S"/>
        <s v="216.00 5ML"/>
        <s v="595.00 28ML"/>
        <s v="415.00 50GM"/>
        <s v="37.95 30ML"/>
        <s v="37.95 30GM"/>
        <s v="328.96 10ML"/>
        <s v="137.76 10ML"/>
        <s v="456.22 50GM"/>
        <s v="275.00 30GM"/>
        <s v="250.00 30GM"/>
        <s v="116.70 100ML"/>
        <s v="102.85 5GM"/>
        <s v="269.00 100ML"/>
        <s v="599.00 30ML"/>
        <s v="349.00 150ML"/>
        <s v="349.00 250ML"/>
        <s v="319.00 100ML"/>
        <s v="499.00 50ML"/>
        <s v="419.00 150ML"/>
        <s v="259.00 100ML"/>
        <s v="12.90 10'S"/>
        <s v="530.00 10GM"/>
        <s v="35.00 75GM"/>
        <s v="130.00 1'S"/>
        <s v="1.00 15'S"/>
        <s v="2.23 15'S"/>
        <s v="5.20 10'S"/>
        <s v="9.06 10'S"/>
        <s v="10.00 1.2ML"/>
        <s v="38.00 9.8ML"/>
        <s v="169.84 15GM"/>
        <s v="22.95 30'S"/>
        <s v="8.80 10'S"/>
        <s v="424.59 3ML"/>
        <s v="325.00 20GM"/>
        <s v="341.50 10GM"/>
        <s v="22.50 10'S"/>
        <s v="71.08 VIAL"/>
        <s v="21.50 10'S"/>
        <s v="18.41 15'S"/>
        <s v="25.24 15'S"/>
        <s v="27.14 15'S"/>
        <s v="21.28 10'S"/>
        <s v="14.00 10'S"/>
        <s v="24.87 15'S"/>
        <s v="26.21 10'S"/>
        <s v="9.99 10'S"/>
        <s v="230.00 35GM"/>
        <s v="66.00 10GM"/>
        <s v="180.00 30GM"/>
        <s v="248.00 50GM"/>
        <s v="121.00 20GM"/>
        <s v="277.50 75GM"/>
        <s v="230.00 50GM"/>
        <s v="362.00 80GM"/>
        <s v="247.00 10GM"/>
        <s v="100.00 15GM"/>
        <s v="138.00 10ML"/>
        <s v="148.00 10ML"/>
        <s v="213.04 10GM"/>
        <s v="262.37 15GM"/>
        <s v="130.65 100GM"/>
        <s v="154.35 150GM"/>
        <s v="29.02 10'S"/>
        <s v="69.00 125GM"/>
        <s v="75.00 150GM"/>
        <s v="119.91 10ML"/>
        <s v="119.91 15ML"/>
        <s v="112.42 10ML"/>
        <s v="75.00 100ML"/>
        <s v="625.00 15GM"/>
        <s v="144.75 10GM"/>
        <s v="107.15 10GM"/>
        <s v="21.78 2ML"/>
        <s v="1.54 30'S"/>
        <s v="19.90 10'S"/>
        <s v="13.60 10'S"/>
        <s v="3.77 15'S"/>
        <s v="4.35 10'S"/>
        <s v="7.02 10'S"/>
        <s v="6.51 10'S"/>
        <s v="24.01 20'S"/>
        <s v="281.00 20GM"/>
        <s v="399.00 100ML"/>
        <s v="565.00 400ML"/>
        <s v="275.00 100GM"/>
        <s v="260.00 1'S"/>
        <s v="249.00 65GM"/>
        <s v="259.00 100GM"/>
        <s v="290.00 100GM"/>
        <s v="449.00 200GM"/>
        <s v="5.78 10'S"/>
        <s v="160.00 12GM"/>
        <s v="150.00 25GM"/>
        <s v="95.00 75GM"/>
        <s v="310.00 150ML"/>
        <s v="95.00 1'S"/>
        <s v="181.50 75GM"/>
        <s v="1405.31 1'S"/>
        <s v="22.00 100ML"/>
        <s v="6.27 10'S"/>
        <s v="149.00 150GM"/>
        <s v="115.00 100GM"/>
        <s v="40.00 10ML"/>
        <s v="2.14 10'S"/>
        <s v="7.59 10'S"/>
        <s v="3.80 10'S"/>
        <s v="523.00 50GM"/>
        <s v="204.38 5ML"/>
        <s v="3.22 20'S"/>
        <s v="4.35 15'S"/>
        <s v="146.40 30GM"/>
        <s v="197.00 50GM"/>
        <s v="90.00 10ML"/>
        <s v="137.75 10ML"/>
        <s v="85.00 100GM"/>
        <s v="13.61 10'S"/>
        <s v="23.28 15'S"/>
        <s v="21.82 21GM"/>
        <s v="32.04 200ML"/>
        <s v="117.46 5ML"/>
        <s v="50.00 5ML"/>
        <s v="199.50 10ML"/>
        <s v="128.84 10ML"/>
        <s v="47.71 10ML"/>
        <s v="21.40 15'S"/>
        <s v="23.36 7'S"/>
        <s v="17.86 7'S"/>
        <s v="13.43 10'S"/>
        <s v="24.84 10'S"/>
        <s v="4.80 10'S"/>
        <s v="12.47 15'S"/>
        <s v="16.93 15'S"/>
        <s v="56.50 VIAL"/>
        <s v="21.69 10'S"/>
        <s v="43.39 10'S"/>
        <s v="11.95 10'S"/>
        <s v="235.00 200ML"/>
        <s v="12.03 15'S"/>
        <s v="16.39 10'S"/>
        <s v="54.00 100ML"/>
        <s v="56.00 80GM"/>
        <s v="110.00 250GM"/>
        <s v="210.00 500GM"/>
        <s v="221.57 1'S"/>
        <s v="11.95 15'S"/>
        <s v="9.58 10'S"/>
      </sharedItems>
    </cacheField>
    <cacheField name="QTY" numFmtId="0">
      <sharedItems containsSemiMixedTypes="0" containsString="0" containsNumber="1" containsInteger="1" minValue="1" maxValue="1620" count="89">
        <n v="15"/>
        <n v="2"/>
        <n v="28"/>
        <n v="150"/>
        <n v="5"/>
        <n v="24"/>
        <n v="1"/>
        <n v="14"/>
        <n v="36"/>
        <n v="48"/>
        <n v="196"/>
        <n v="20"/>
        <n v="10"/>
        <n v="22"/>
        <n v="3"/>
        <n v="30"/>
        <n v="40"/>
        <n v="60"/>
        <n v="524"/>
        <n v="212"/>
        <n v="180"/>
        <n v="8"/>
        <n v="45"/>
        <n v="86"/>
        <n v="38"/>
        <n v="12"/>
        <n v="29"/>
        <n v="4"/>
        <n v="301"/>
        <n v="200"/>
        <n v="18"/>
        <n v="11"/>
        <n v="6"/>
        <n v="680"/>
        <n v="16"/>
        <n v="19"/>
        <n v="13"/>
        <n v="76"/>
        <n v="100"/>
        <n v="63"/>
        <n v="25"/>
        <n v="116"/>
        <n v="120"/>
        <n v="636"/>
        <n v="52"/>
        <n v="110"/>
        <n v="80"/>
        <n v="70"/>
        <n v="53"/>
        <n v="33"/>
        <n v="145"/>
        <n v="37"/>
        <n v="23"/>
        <n v="27"/>
        <n v="50"/>
        <n v="56"/>
        <n v="710"/>
        <n v="240"/>
        <n v="21"/>
        <n v="270"/>
        <n v="9"/>
        <n v="135"/>
        <n v="300"/>
        <n v="90"/>
        <n v="340"/>
        <n v="130"/>
        <n v="392"/>
        <n v="17"/>
        <n v="140"/>
        <n v="1170"/>
        <n v="254"/>
        <n v="230"/>
        <n v="131"/>
        <n v="35"/>
        <n v="26"/>
        <n v="165"/>
        <n v="46"/>
        <n v="7"/>
        <n v="31"/>
        <n v="650"/>
        <n v="55"/>
        <n v="65"/>
        <n v="600"/>
        <n v="1100"/>
        <n v="1620"/>
        <n v="702"/>
        <n v="380"/>
        <n v="133"/>
        <n v="49"/>
      </sharedItems>
    </cacheField>
    <cacheField name="AMOUNT" numFmtId="0">
      <sharedItems containsSemiMixedTypes="0" containsString="0" containsNumber="1" minValue="5" maxValue="25350.46"/>
    </cacheField>
    <cacheField name="MANUFACTURER NAME" numFmtId="0">
      <sharedItems count="316">
        <s v="ALKEM LAB (ALPHA)"/>
        <s v="INTAS PHARMACEUTICALS (GENERIC)"/>
        <s v="LUPIN LABORATORIES LIMITED"/>
        <s v="INDIAN IMMUNOLOGICALS LIMITED"/>
        <s v="RANBAXY LAB (CROSLAND)"/>
        <s v="WOCKHARDT LIMITED"/>
        <s v="UNIROYAL BIOTECH"/>
        <s v="ALKEM LAB (GENERIC) FUTURA"/>
        <s v="WOCKHARDT LIMITED (PHARMA - ORI)"/>
        <s v="MOREPEN LABORATORIES LTD"/>
        <s v="MANKIND PHARMA (LIFESTAR)"/>
        <s v="IPCA LABORATORIES (BIONOVA)"/>
        <s v="WALLACE PHARMACEUTICALS LTD"/>
        <s v="ADISYS HEALTHCARE"/>
        <s v="GENERAL PHARMACEUTICALS LTD"/>
        <s v="RANBAXY LAB (PHARMA)"/>
        <s v="TORRENT PHARMA (SPARSH)"/>
        <s v="VIRBAC ANIMAL HEALTH INDIA PVT LTD"/>
        <s v="ZYDUS PHARMA (MEDICA)"/>
        <s v="CIPLA LIMITED SPECTRA 1"/>
        <s v="ALKEM LABORATORIES LIMITED"/>
        <s v="ALEMBIC (MAXIS)"/>
        <s v="MANKIND PHARMA PRIVATE LIMITED"/>
        <s v="MICRO LAB (CARSYON CARDIAC)"/>
        <s v="ABBOTT HEALTHCARE (GENERICS)"/>
        <s v="AYURVEDIC"/>
        <s v="AMRUTANJAN LIMITED"/>
        <s v="SUN PHARMA (PHARMA)"/>
        <s v="CURATIO HEALTH CARE PVT LTD"/>
        <s v="USV LIMITED (CONQUER)"/>
        <s v="STELLAR BIO LABS"/>
        <s v="ORDAIN (PERZISTA - CTF)"/>
        <s v="ARISTO PHARMA"/>
        <s v="UNICHEM LAB (UNISEARCH INTEGRA)"/>
        <s v="SARABHAI PIRAMAL PHARMA LTD"/>
        <s v="GLENMARK (MAJESTA)"/>
        <s v="GLENMARK (PHARMA)"/>
        <s v="CIPLA LIMITED RESPIRATORY"/>
        <s v="DR REDDY'S LAB (GRANDERA)"/>
        <s v="CIPLA LIMITED VITALIS"/>
        <s v="GERMAN REMEDIES LIMITED (GENERIC)"/>
        <s v="GSKCH EXPERT"/>
        <s v="GLAXO SMITHKLINE (TEAM 6 P&amp;CC)"/>
        <s v="SANOFI INDIA LIMITED (PHC)"/>
        <s v="SUN PHARMA (AVIOR)"/>
        <s v="JUNIFER PHARMACEUTICALS"/>
        <s v="ALEMBIC (MEGACARE)"/>
        <s v="MICRO LAB (BROWN &amp; BURK)"/>
        <s v="BAIDYANATH AYURVEDA BHAVAN LTD"/>
        <s v="BAJAJ SEVASRAM LTD"/>
        <s v="ROMSONS"/>
        <s v="SURGICAL"/>
        <s v="MANKIND (PHARMA)"/>
        <s v="LUPIN PHARMA (SYNOX)"/>
        <s v="BECTON DICKINSON (I) PVT LTD"/>
        <s v="BD INDIA PVT LTD"/>
        <s v="GLAXO SMITHKLINE (TEAM 3 ASCLEPI)"/>
        <s v="PFIZER LTD (PHARMA)"/>
        <s v="BEIERSDORF INDIA LTD"/>
        <s v="PFIZER LTD"/>
        <s v="WIN MEDICARE (OTC - WHC)"/>
        <s v="ASTAMED HEALTHCARE PVT LTD"/>
        <s v="BIOLOGICAL EVANS LIMITED"/>
        <s v="EMCURE PHARMA (ZUVENTUS)"/>
        <s v="ADCOCK INGRAM HEALTHCARE PVT LTD"/>
        <s v="UNKNOWN MANUFACTURER ITEM"/>
        <s v="SUN PHARMA (AKUNA)"/>
        <s v="JOHNSON &amp; JOHNSON"/>
        <s v="BIOVITAMINS PRIVATE LIMITED"/>
        <s v="BLUBELL PHARMA (IND SURJO PHARMA)"/>
        <s v="MICRO LAB (HEALTHCARE)"/>
        <s v="HIMANI LIMITED"/>
        <s v="G D PHARMACEUTICALS LTD"/>
        <s v="IPCA LABORATORIES (DYNAMIX)"/>
        <s v="ABBOTT INDIA LTD (GENERAL CARE)"/>
        <s v="CIPLA LIMITED GENERIC"/>
        <s v="IPCA LABORATORIES (3C)"/>
        <s v="LEEFORD HEALTHCARE LTD"/>
        <s v="MICRO LAB (GRATIA DERMA)"/>
        <s v="GLAXO SMITHKLINE (TEAM 1 ENTERO)"/>
        <s v="GLENMARK (MILIEUS)"/>
        <s v="MANKIND PHARMA (DISCOVERY)"/>
        <s v="LABORATE PHARMACEUTICALS INDIA"/>
        <s v="GALDERMA INDIA PVT LTD"/>
        <s v="TORRENT PHARMA (UNO SPIRIT)"/>
        <s v="RANBAXY LAB (REXTAR/MAXXIM)"/>
        <s v="J B CHEMICALS &amp; PHARMA LTD"/>
        <s v="CADELL HEALTHCARE PVT LTD"/>
        <s v="GODREJ SOAP LTD"/>
        <s v="CIPLA LIMITED"/>
        <s v="ZYDUS CADILA HEALTHCARE LTD."/>
        <s v="LINUX LABORATORIES"/>
        <s v="ALKEM LAB (ACE)"/>
        <s v="COREM PHARMA PVT LTD"/>
        <s v="H&amp;H PHARMA (COSMECEUTICAL)"/>
        <s v="HINDUSTAN LEVER LIMITED"/>
        <s v="INDOCO REMEDIES LIMITED"/>
        <s v="DR REDDY'S LAB (RECURA)"/>
        <s v="CPM MOHENA COMPANY"/>
        <s v="BMW PHARMACO INDIA PVT LTD"/>
        <s v="GLAXO SMITHKLINE (TEAM 4 UNICORI)"/>
        <s v="COGNITIVE LIFE SCIENCES"/>
        <s v="COLGATE PALMOLIVE INDIA LTD"/>
        <s v="TORRENT PHARMA (PRIMA)"/>
        <s v="MERCK INDIA LTD"/>
        <s v="MERCK LTD (CM CARE)"/>
        <s v="PRECISION COATING"/>
        <s v="COMMON"/>
        <s v="PRABHAT SURGICAL COTTON (P) LTD"/>
        <s v="SERDIA PHARMACEUTICALS (INDIA) P"/>
        <s v="AUREL BIOLIFE"/>
        <s v="ABBOTT INDIA LTD (GASTRO)"/>
        <s v="GLAXO SMITHKLINE (CONSUMER HC)"/>
        <s v="THEMIS GENERIC"/>
        <s v="INDOCO REMEDIES (SPECIALITY)"/>
        <s v="GENO (PHARMA)"/>
        <s v="PARAS PHARMA"/>
        <s v="USV LIMITED (CORVETTE)"/>
        <s v="DABUR INDIA LIMITED"/>
        <s v="CATALENT PHARMA"/>
        <s v="INTAS PHARMACEUTICALS (ALITA)"/>
        <s v="JUGAJI PHARMA LTD"/>
        <s v="SANOFI INDIA LIMITED (ONG RANGE)"/>
        <s v="GERMAN REMEDIES LTD (RESPICARE)"/>
        <s v="DERMACARE PHARMACEUTICALS PVT"/>
        <s v="DERMA CONCEPTS"/>
        <s v="H&amp;H PHARMA (DERMATOLOGY)"/>
        <s v="UNIVERSAL GENERIC"/>
        <s v="EAST WEST PHARMA (DERMA)"/>
        <s v="LUPIN LIMITED"/>
        <s v="RECKITT BENCKISER INDIA"/>
        <s v="RECKITT &amp; COLMAN OF INDIA LTD"/>
        <s v="FUSION HEALTH CARE PVT LTD"/>
        <s v="MICRO LABS (GENERIC)"/>
        <s v="ZYDUS PHARMA (ALIDAC/CORZA)"/>
        <s v="OZONE PHARMACEUTICALS LTD (BAJAJ)"/>
        <s v="OZONE PHARMA (PROTON)"/>
        <s v="ABBOTT INDIA LTD (CONSUMER CARE)"/>
        <s v="MICROGENE DIAGNOSTIC"/>
        <s v="REDCLIFFE HYGIENE PVT LTD"/>
        <s v="HINDUSTAN SYRINGES &amp; MEDICAL"/>
        <s v="MICRO LAB (GENERAL TASK FORCE-C)"/>
        <s v="DR REDDY'S LABORATORIES LTD"/>
        <s v="MICRO LAB (MICRONOVA)"/>
        <s v="MICRO LAB (SYNCRO - SYNAPES)"/>
        <s v="HINDUSTAN UNILEVER LIMITED"/>
        <s v="USV LIMITED (FORCE ONE PHARMA)"/>
        <s v="USV LIMITED (PHARMA)"/>
        <s v="CONSUMER HEALTH CARE"/>
        <s v="DR. SCHOLL'S"/>
        <s v="TROIKAA PHARMA (SPECTRA)"/>
        <s v="PALSONS (DERMA)"/>
        <s v="DR REDDY'S LAB (DERMA)"/>
        <s v="USV LIMITED (CONDOR)"/>
        <s v="FDC LTD (VISTA)"/>
        <s v="SUNLIFE SCIENCES PVT LTD"/>
        <s v="3A PHARMACEUTICALS"/>
        <s v="CIPLA LIMITED SPECTRA 2"/>
        <s v="EMCURE PHARMA (EMCUTIX)"/>
        <s v="GLAXO INDIA LTD"/>
        <s v="ABBOTT INDIA LTD (NUTRITION)"/>
        <s v="ENTOD PHARMACEUTICALS PVT. LTD"/>
        <s v="ALKEM LAB (BERGAN HEALTH)"/>
        <s v="PRAGMATIC LABS PVT. LTD"/>
        <s v="ABBOTT INDIA LTD (NEUROSCIENCES)"/>
        <s v="ERIS LIFE SCIENCES (PHARMA)"/>
        <s v="ACINOM HEALTHCARE"/>
        <s v="SANOFI INDIA LIMITED (CNS RANGE)"/>
        <s v="DINAKAR IPCA PHARMA LTD"/>
        <s v="ABBOTT HEALTHCARE PVT. LTD"/>
        <s v="GARNIER LAB"/>
        <s v="PFIZER LTD (CHPD - FUTURA)"/>
        <s v="SUN PHARMA (AZURA)"/>
        <s v="PROCTER &amp; GAMBLE INDIA LTD (P &amp; G)"/>
        <s v="NIRAJ INDUSTRIES PVT LTD"/>
        <s v="BIOCHEM GENERICS (SPECTRUM)"/>
        <s v="GLOWDERMA LAB PVT LTD"/>
        <s v="JBS HEALTH FOOD"/>
        <s v="GENERAL..I"/>
        <s v="HEINZ"/>
        <s v="LUPIN PHARMA (METABOLICS)"/>
        <s v="LUPIN PHARMA (DIABETES CARE)"/>
        <s v="SUN PHARMA (ARIAN)"/>
        <s v="USV LIMITED (CORONA)"/>
        <s v="EAST WEST PHARMA (DIABETIC)"/>
        <s v="FUSION HEALTH CARE PVT. LTD"/>
        <s v="GODREJ SARA LEE LIMITED"/>
        <s v="FRANCO INDIA PHARMACEUTICALS P"/>
        <s v="CHARAK PHARMA PVT LIMITED"/>
        <s v="GLENMARK (GRACEWELL)"/>
        <s v="YASH PHARMA LAB LTD"/>
        <s v="HANSA PLAST"/>
        <s v=" BEIERSDORF INDIA LTD"/>
        <s v="BELLADONA PLASTERS LTD"/>
        <s v=" H&amp;H PHARMA (DERMATOLOGY)"/>
        <s v="INTAS PHARMACEUTICALS (PHARMA)"/>
        <s v=" HIMALAYA COSMETICS"/>
        <s v="HIMALAYA COSMETICS"/>
        <s v="HIMALAYA DRUGS (ZENITH)"/>
        <s v="ICON LIFE SCIENCES (MESMER)"/>
        <s v="ABBOTT INDIA LTD (NOVO NORDISK-E)"/>
        <s v="ARIHANT ENTERPRISE"/>
        <s v="GENIX PHARMA 2 (102)"/>
        <s v="SUPREME PHARMA"/>
        <s v="JAGSONPAL PHARMACEUTICALS LTD"/>
        <s v="UNK MANUFACTURER ITEM"/>
        <s v="MOSONS EXTRACTONS PVT LTD"/>
        <s v="GLAXO SMITHKLINE PHARMA LTD"/>
        <s v="GENERAL C"/>
        <s v="PARIS DAKNER MICF"/>
        <s v="CIPLA LIMITED EXTENNA"/>
        <s v=" SYSTOPIC LABORATORIES LIMITED"/>
        <s v="ETHINEXT PHARMA"/>
        <s v="MRHM PHARMA PVT. LTD"/>
        <s v="MSD PHARMACEUTICALS PVT LTD"/>
        <s v=" MSD PHARMACEUTICALS PVT LTD"/>
        <s v="BOEHRINGER INGELHEIM (THAI) LTD"/>
        <s v="JMS"/>
        <s v=" JOHNSON &amp; JOHNSON"/>
        <s v=" SUNWAYS INDIA PVT LTD"/>
        <s v=" MAHARISHI AYUR CORP"/>
        <s v="SIDHBALI FORMULATIONS"/>
        <s v="MACLEODS (PHARMA)"/>
        <s v="ALKEM LAB (GENERIC) ALIVA"/>
        <s v="UNIVERSAL LIFE CARE"/>
        <s v="FIALLE PHARMACEUTICALS"/>
        <s v="KOPRAN LIMITED"/>
        <s v="PANBROSS PHARMACEUTICALS PVT LTD"/>
        <s v="SITNEZ BIOCARE (P) LTD."/>
        <s v="NESTLE INDIA LTD"/>
        <s v="GLAXO SMITHKLINE (TEAM 8 PEGASUS)"/>
        <s v="SANOFI INDIA LIMITED (CARDIO RANGE)"/>
        <s v="ROOFKART TRADING PVT LTD (I MED)"/>
        <s v="IPCA LABORATORIES (ACTIVA)"/>
        <s v="HETERO HEALTHCARE LTD"/>
        <s v="DOLLAR COMPANY (PVT) LTD"/>
        <s v="ABBOTT HEALTHCARE (MULTI THERAPY)"/>
        <s v="SUN PHARMA (SYNERGY)"/>
        <s v="HANSAPLAST"/>
        <s v="BLUE CROSS LABORATORIES LTD"/>
        <s v="HIMALAYA DRUG CO (ZANDRA)"/>
        <s v="LIVIDUS PHARMA (LIVINOR)"/>
        <s v="GENERAL A"/>
        <s v="LIVKON PHARMACEUTICAL PVT LTD"/>
        <s v="LIVEON HEALTHCARE PVT LTD"/>
        <s v="ALTEUS BIOGENICS PVT LTD"/>
        <s v="INTAS PHARMACEUTICALS (AYOKKA)"/>
        <s v="UNIVA MEDICA"/>
        <s v="INTAS PHARMACEUTICALS (ALAIRA)"/>
        <s v="LOREAL INDIA PVT LTD"/>
        <s v="LOTUS LAB"/>
        <s v="NEON LABORATORIES LIMITED"/>
        <s v="NITIN LIFESCIENCES LTD"/>
        <s v="MICRO LAB (MICRO VISION)"/>
        <s v="CIPLA LIMITED XTERNA"/>
        <s v="ADMARK PHARMACEUTICALS PVT LTD"/>
        <s v="IPCA LABORATORIES (PHARMA)"/>
        <s v="MAMTA PHA"/>
        <s v="MAMICARE"/>
        <s v="MAC &amp; GAYER (INDIA) PHARMA"/>
        <s v="HONEYWELL INTERNATIONAL (INDIA) PVT"/>
        <s v="CONSUMER ITEM"/>
        <s v="3M INDIA LIMITED"/>
        <s v="MEDOPHARMA"/>
        <s v="EMAMI LTD"/>
        <s v="SUN PHARMA (ORTUS)"/>
        <s v="PFIZER LTD (INTIMA)"/>
        <s v="SUN PHARMA (SOLARES)"/>
        <s v="SUN PHARMA (RADIANT)"/>
        <s v="INTAS PHARMACEUTICALS PVT LTD"/>
        <s v="RELYON HEALTH CARE"/>
        <s v="AROMA LIFE SCIENCE"/>
        <s v="RANBAXY LAB (REXTAR / MAXXIM)"/>
        <s v="XPERIA HEALTHCARE"/>
        <s v="FDC LTD (LUMINA)"/>
        <s v="SANOFI INDIA LIMITED (INTERNAL MEI)"/>
        <s v="KARNATAKA SOAPS &amp; DETERGENT LTD"/>
        <s v="MERCK LTD (CH CARE)"/>
        <s v="SWASTIK"/>
        <s v="RHOMBUS PHARMA PVT LTD"/>
        <s v="GLAXO SMITHKLINE (TEAM 4 UNICORN)"/>
        <s v="MERCK LTD (COMMUNITY CARE)"/>
        <s v="MERCK LTD (BIOCARE)"/>
        <s v="TORRENT PHARMA (PSYCAN - CND)"/>
        <s v="AYURWIN"/>
        <s v="NIVEA INDIA PVT LTD"/>
        <s v="PETCARE VET"/>
        <s v="PROVIMI ANIMAL NUTRITION INDIA"/>
        <s v="ABBOTT INDIA LTD (NOVO NORDISK-N)"/>
        <s v="DENIS CHEM-LAB LTD"/>
        <s v="SYMBIOSIS PHARMA PVT LTD"/>
        <s v="TORQUE PHARMACEUTICALS PVT LTD"/>
        <s v="ALKEM LAB (DERMA CARE)"/>
        <s v="AJANTA PHARMA (ANVAXX)"/>
        <s v="OMEGA BIOTECH LIMITED"/>
        <s v="DR REDDY'S LAB (AQURA SG)"/>
        <s v="OVERSEAS (PHARMA)"/>
        <s v="WINGS BIOTECH OTC (GENERIC)"/>
        <s v="GERMAN REMEDIES LIMITED"/>
        <s v="EMCURE PHARMA (PHARMA)"/>
        <s v="JOHNSON &amp; JOHNSON (CONSUMER)"/>
        <s v="CENTAUR PHARMACEUTICALS P LTD"/>
        <s v="SYMBIOSIS PHARMA PVT LTD (COAST)"/>
        <s v="JOHNSON &amp; JOHNSON (ETHNOR)"/>
        <s v="NOVARTIS INDIA LTD"/>
        <s v="WOCKHARDT LIMITED (MERIND)"/>
        <s v="CIPLA LIMITED UROLOGY"/>
        <s v="PRANSHU HEALTH CARE"/>
        <s v="ABBOTT TRUE CARE 1 PHARMA PVT LTD"/>
        <s v="PANACEA BIOTEC LTD"/>
        <s v="RELIANCE FORMULATION PVT LTD"/>
        <s v="PROCTER &amp; GAMBLE INDIA LTD"/>
        <s v="MARICO"/>
        <s v="PATANJALI AYURVED LIMITED"/>
        <s v="ALEMBIC (GENERICS)"/>
        <s v="CADILA PHARMA LTD (GENERIC)"/>
      </sharedItems>
    </cacheField>
    <cacheField name="CUSTOMER SEGMENT" numFmtId="0">
      <sharedItems count="3">
        <s v="REGULAR"/>
        <s v="RETAIL"/>
        <s v="BULK/HOSPITALS"/>
      </sharedItems>
    </cacheField>
  </cacheFields>
  <extLst>
    <ext xmlns:x14="http://schemas.microsoft.com/office/spreadsheetml/2009/9/main" uri="{725AE2AE-9491-48be-B2B4-4EB974FC3084}">
      <x14:pivotCacheDefinition pivotCacheId="1478532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2">
  <r>
    <x v="0"/>
    <x v="0"/>
    <s v="A TO Z NS PLUS TAB"/>
    <x v="0"/>
    <n v="5"/>
    <x v="0"/>
    <x v="0"/>
    <n v="192"/>
    <x v="0"/>
    <x v="0"/>
  </r>
  <r>
    <x v="1"/>
    <x v="0"/>
    <s v="A TO Z NS SYP 200ML"/>
    <x v="1"/>
    <n v="2"/>
    <x v="1"/>
    <x v="1"/>
    <n v="420"/>
    <x v="0"/>
    <x v="1"/>
  </r>
  <r>
    <x v="2"/>
    <x v="0"/>
    <s v="ABD PLUS TAB"/>
    <x v="0"/>
    <n v="5"/>
    <x v="2"/>
    <x v="2"/>
    <n v="1282.73"/>
    <x v="1"/>
    <x v="2"/>
  </r>
  <r>
    <x v="3"/>
    <x v="0"/>
    <s v="ABEL CT 40MG 10TAB"/>
    <x v="0"/>
    <n v="10"/>
    <x v="3"/>
    <x v="3"/>
    <n v="2571"/>
    <x v="2"/>
    <x v="2"/>
  </r>
  <r>
    <x v="4"/>
    <x v="0"/>
    <s v="ABHAYRAB VACCINE"/>
    <x v="2"/>
    <n v="2"/>
    <x v="4"/>
    <x v="1"/>
    <n v="795.24"/>
    <x v="3"/>
    <x v="1"/>
  </r>
  <r>
    <x v="5"/>
    <x v="0"/>
    <s v="ABHAYTOX 0.5ML TETANUS"/>
    <x v="3"/>
    <n v="2"/>
    <x v="5"/>
    <x v="4"/>
    <n v="65.400000000000006"/>
    <x v="3"/>
    <x v="0"/>
  </r>
  <r>
    <x v="6"/>
    <x v="0"/>
    <s v="ABZORB DUSTING POWDER 120GM"/>
    <x v="3"/>
    <n v="5"/>
    <x v="6"/>
    <x v="5"/>
    <n v="4069.06"/>
    <x v="4"/>
    <x v="2"/>
  </r>
  <r>
    <x v="7"/>
    <x v="0"/>
    <s v="ACCECLOWOC MR TAB"/>
    <x v="0"/>
    <n v="2"/>
    <x v="7"/>
    <x v="6"/>
    <n v="9.4"/>
    <x v="5"/>
    <x v="1"/>
  </r>
  <r>
    <x v="8"/>
    <x v="0"/>
    <s v="ACCECLOWOC P TAB"/>
    <x v="0"/>
    <n v="5"/>
    <x v="8"/>
    <x v="7"/>
    <n v="111.71"/>
    <x v="5"/>
    <x v="0"/>
  </r>
  <r>
    <x v="9"/>
    <x v="0"/>
    <s v="ACCECLOWOC SP TAB"/>
    <x v="0"/>
    <n v="5"/>
    <x v="9"/>
    <x v="8"/>
    <n v="577.20000000000005"/>
    <x v="5"/>
    <x v="2"/>
  </r>
  <r>
    <x v="10"/>
    <x v="0"/>
    <s v="ACEFLAM P TAB"/>
    <x v="0"/>
    <n v="5"/>
    <x v="10"/>
    <x v="9"/>
    <n v="348.72"/>
    <x v="6"/>
    <x v="2"/>
  </r>
  <r>
    <x v="11"/>
    <x v="1"/>
    <s v="ACELOFLAM SP TAB"/>
    <x v="0"/>
    <n v="10"/>
    <x v="11"/>
    <x v="10"/>
    <n v="2463.75"/>
    <x v="7"/>
    <x v="2"/>
  </r>
  <r>
    <x v="12"/>
    <x v="1"/>
    <s v="ACEROC SP TAB"/>
    <x v="0"/>
    <n v="5"/>
    <x v="12"/>
    <x v="11"/>
    <n v="297.5"/>
    <x v="8"/>
    <x v="0"/>
  </r>
  <r>
    <x v="13"/>
    <x v="1"/>
    <s v="ACNE OC MOISTURIZER 75"/>
    <x v="3"/>
    <n v="2"/>
    <x v="13"/>
    <x v="6"/>
    <n v="588"/>
    <x v="9"/>
    <x v="1"/>
  </r>
  <r>
    <x v="14"/>
    <x v="1"/>
    <s v="ACNESTAR GEL 22GM"/>
    <x v="3"/>
    <n v="2"/>
    <x v="14"/>
    <x v="1"/>
    <n v="240"/>
    <x v="10"/>
    <x v="1"/>
  </r>
  <r>
    <x v="15"/>
    <x v="1"/>
    <s v="ACNESTAR SOAP"/>
    <x v="3"/>
    <n v="2"/>
    <x v="15"/>
    <x v="6"/>
    <n v="110"/>
    <x v="10"/>
    <x v="1"/>
  </r>
  <r>
    <x v="16"/>
    <x v="1"/>
    <s v="ACUTRET 5MG CAP"/>
    <x v="3"/>
    <n v="5"/>
    <x v="16"/>
    <x v="12"/>
    <n v="118"/>
    <x v="11"/>
    <x v="0"/>
  </r>
  <r>
    <x v="17"/>
    <x v="1"/>
    <s v="ADAPLE C GEL"/>
    <x v="3"/>
    <n v="2"/>
    <x v="17"/>
    <x v="6"/>
    <n v="360"/>
    <x v="12"/>
    <x v="1"/>
  </r>
  <r>
    <x v="18"/>
    <x v="1"/>
    <s v="ADIAZI 500MG TAB"/>
    <x v="0"/>
    <n v="5"/>
    <x v="18"/>
    <x v="5"/>
    <n v="633.16"/>
    <x v="13"/>
    <x v="2"/>
  </r>
  <r>
    <x v="19"/>
    <x v="1"/>
    <s v="AERO MIST ADULT MAST"/>
    <x v="3"/>
    <n v="5"/>
    <x v="19"/>
    <x v="7"/>
    <n v="8749"/>
    <x v="14"/>
    <x v="0"/>
  </r>
  <r>
    <x v="20"/>
    <x v="1"/>
    <s v="AEROMIST ADULET MASK"/>
    <x v="3"/>
    <n v="2"/>
    <x v="20"/>
    <x v="6"/>
    <n v="572"/>
    <x v="15"/>
    <x v="1"/>
  </r>
  <r>
    <x v="21"/>
    <x v="2"/>
    <s v="AHAGLOW FACE WASH 100GM"/>
    <x v="3"/>
    <n v="5"/>
    <x v="21"/>
    <x v="13"/>
    <n v="12430"/>
    <x v="16"/>
    <x v="2"/>
  </r>
  <r>
    <x v="22"/>
    <x v="2"/>
    <s v="AHAGLOW S FACE WASH 100ML"/>
    <x v="3"/>
    <n v="2"/>
    <x v="22"/>
    <x v="14"/>
    <n v="2394"/>
    <x v="16"/>
    <x v="0"/>
  </r>
  <r>
    <x v="23"/>
    <x v="2"/>
    <s v="ALBOMAR SYP 500ML"/>
    <x v="1"/>
    <n v="2"/>
    <x v="23"/>
    <x v="6"/>
    <n v="365"/>
    <x v="17"/>
    <x v="1"/>
  </r>
  <r>
    <x v="24"/>
    <x v="2"/>
    <s v="ALDONIL PLUS TAB"/>
    <x v="0"/>
    <n v="5"/>
    <x v="24"/>
    <x v="15"/>
    <n v="1048.92"/>
    <x v="18"/>
    <x v="2"/>
  </r>
  <r>
    <x v="25"/>
    <x v="2"/>
    <s v="ALERID TAB"/>
    <x v="0"/>
    <n v="5"/>
    <x v="25"/>
    <x v="12"/>
    <n v="20.059999999999999"/>
    <x v="19"/>
    <x v="0"/>
  </r>
  <r>
    <x v="26"/>
    <x v="2"/>
    <s v="ALKOF DX COUGH SYP"/>
    <x v="1"/>
    <n v="2"/>
    <x v="26"/>
    <x v="6"/>
    <n v="120"/>
    <x v="20"/>
    <x v="1"/>
  </r>
  <r>
    <x v="27"/>
    <x v="2"/>
    <s v="ALKOF LS JUNIOR COUGH SYP"/>
    <x v="1"/>
    <n v="2"/>
    <x v="27"/>
    <x v="6"/>
    <n v="129"/>
    <x v="7"/>
    <x v="1"/>
  </r>
  <r>
    <x v="28"/>
    <x v="2"/>
    <s v="ALMOX 250MG CAP 15'S"/>
    <x v="3"/>
    <n v="5"/>
    <x v="28"/>
    <x v="12"/>
    <n v="27.33"/>
    <x v="20"/>
    <x v="0"/>
  </r>
  <r>
    <x v="29"/>
    <x v="2"/>
    <s v="ALMOX 500MG CAP"/>
    <x v="3"/>
    <n v="5"/>
    <x v="29"/>
    <x v="16"/>
    <n v="329.48"/>
    <x v="7"/>
    <x v="2"/>
  </r>
  <r>
    <x v="30"/>
    <x v="2"/>
    <s v="ALMOX 500MG CAP 15'S"/>
    <x v="3"/>
    <n v="7"/>
    <x v="30"/>
    <x v="17"/>
    <n v="494.22"/>
    <x v="7"/>
    <x v="2"/>
  </r>
  <r>
    <x v="31"/>
    <x v="3"/>
    <s v="ALTHROCIN 250MG TAB"/>
    <x v="0"/>
    <n v="5"/>
    <x v="31"/>
    <x v="12"/>
    <n v="69.7"/>
    <x v="21"/>
    <x v="0"/>
  </r>
  <r>
    <x v="32"/>
    <x v="3"/>
    <s v="AMLOKIND AT TAB"/>
    <x v="0"/>
    <n v="5"/>
    <x v="32"/>
    <x v="0"/>
    <n v="59.34"/>
    <x v="22"/>
    <x v="0"/>
  </r>
  <r>
    <x v="33"/>
    <x v="3"/>
    <s v="AMLONG 10MG TAB"/>
    <x v="0"/>
    <n v="7"/>
    <x v="33"/>
    <x v="17"/>
    <n v="370.8"/>
    <x v="23"/>
    <x v="2"/>
  </r>
  <r>
    <x v="34"/>
    <x v="3"/>
    <s v="AMLONG 5MG TAB"/>
    <x v="0"/>
    <n v="5"/>
    <x v="34"/>
    <x v="15"/>
    <n v="84"/>
    <x v="23"/>
    <x v="2"/>
  </r>
  <r>
    <x v="35"/>
    <x v="3"/>
    <s v="AMLONG TL 40MG TAB"/>
    <x v="0"/>
    <n v="7"/>
    <x v="35"/>
    <x v="17"/>
    <n v="1024.02"/>
    <x v="23"/>
    <x v="2"/>
  </r>
  <r>
    <x v="36"/>
    <x v="3"/>
    <s v="AMOXYCLAV 375MG TAB 10'S"/>
    <x v="0"/>
    <n v="10"/>
    <x v="36"/>
    <x v="18"/>
    <n v="16239.3"/>
    <x v="24"/>
    <x v="2"/>
  </r>
  <r>
    <x v="37"/>
    <x v="3"/>
    <s v="AMOXYCLAV 625MG TAB"/>
    <x v="0"/>
    <n v="10"/>
    <x v="37"/>
    <x v="19"/>
    <n v="4304.71"/>
    <x v="24"/>
    <x v="2"/>
  </r>
  <r>
    <x v="38"/>
    <x v="3"/>
    <s v="AMRITH NONI D PLUS"/>
    <x v="3"/>
    <n v="2"/>
    <x v="38"/>
    <x v="6"/>
    <n v="1300"/>
    <x v="25"/>
    <x v="1"/>
  </r>
  <r>
    <x v="39"/>
    <x v="3"/>
    <s v="AMRUTANJAN BACK PAIN ROLL ON"/>
    <x v="3"/>
    <n v="2"/>
    <x v="39"/>
    <x v="6"/>
    <n v="94"/>
    <x v="26"/>
    <x v="1"/>
  </r>
  <r>
    <x v="40"/>
    <x v="3"/>
    <s v="AMRUTANJAN BALM 25GM"/>
    <x v="3"/>
    <n v="5"/>
    <x v="40"/>
    <x v="0"/>
    <n v="1528"/>
    <x v="26"/>
    <x v="0"/>
  </r>
  <r>
    <x v="41"/>
    <x v="4"/>
    <s v="AMRUTANJAN BALM 45GM"/>
    <x v="3"/>
    <n v="5"/>
    <x v="41"/>
    <x v="7"/>
    <n v="1970"/>
    <x v="26"/>
    <x v="0"/>
  </r>
  <r>
    <x v="42"/>
    <x v="4"/>
    <s v="AMRUTANJAN INHALER"/>
    <x v="3"/>
    <n v="2"/>
    <x v="42"/>
    <x v="1"/>
    <n v="90"/>
    <x v="26"/>
    <x v="1"/>
  </r>
  <r>
    <x v="43"/>
    <x v="4"/>
    <s v="AMRUTANJAN ROLL ON 10ML"/>
    <x v="3"/>
    <n v="2"/>
    <x v="43"/>
    <x v="6"/>
    <n v="66"/>
    <x v="26"/>
    <x v="1"/>
  </r>
  <r>
    <x v="44"/>
    <x v="4"/>
    <s v="AMRUTANJAN STRONG 9GM"/>
    <x v="3"/>
    <n v="2"/>
    <x v="44"/>
    <x v="6"/>
    <n v="44"/>
    <x v="26"/>
    <x v="1"/>
  </r>
  <r>
    <x v="45"/>
    <x v="4"/>
    <s v="ANABOOM PRO SERUM SERUM"/>
    <x v="3"/>
    <n v="2"/>
    <x v="45"/>
    <x v="6"/>
    <n v="1390"/>
    <x v="27"/>
    <x v="1"/>
  </r>
  <r>
    <x v="46"/>
    <x v="4"/>
    <s v="ANDROANAGEN TAB"/>
    <x v="0"/>
    <n v="5"/>
    <x v="46"/>
    <x v="15"/>
    <n v="840"/>
    <x v="28"/>
    <x v="2"/>
  </r>
  <r>
    <x v="47"/>
    <x v="4"/>
    <s v="ANGISPAN TR 2.5MG CAP"/>
    <x v="3"/>
    <n v="10"/>
    <x v="47"/>
    <x v="20"/>
    <n v="1724.4"/>
    <x v="29"/>
    <x v="2"/>
  </r>
  <r>
    <x v="48"/>
    <x v="5"/>
    <s v="APEX VAPORIZER ALL IN ONE"/>
    <x v="3"/>
    <n v="2"/>
    <x v="48"/>
    <x v="14"/>
    <n v="1575"/>
    <x v="30"/>
    <x v="0"/>
  </r>
  <r>
    <x v="49"/>
    <x v="5"/>
    <s v="APRESOL 25 TAB"/>
    <x v="0"/>
    <n v="5"/>
    <x v="49"/>
    <x v="15"/>
    <n v="318.95999999999998"/>
    <x v="31"/>
    <x v="2"/>
  </r>
  <r>
    <x v="50"/>
    <x v="5"/>
    <s v="APRESOL TAB"/>
    <x v="0"/>
    <n v="5"/>
    <x v="50"/>
    <x v="15"/>
    <n v="327.42"/>
    <x v="31"/>
    <x v="2"/>
  </r>
  <r>
    <x v="51"/>
    <x v="5"/>
    <s v="ARISTOZYME SYP"/>
    <x v="1"/>
    <n v="2"/>
    <x v="51"/>
    <x v="1"/>
    <n v="296"/>
    <x v="32"/>
    <x v="1"/>
  </r>
  <r>
    <x v="52"/>
    <x v="5"/>
    <s v="ARKAMIN TAB"/>
    <x v="0"/>
    <n v="7"/>
    <x v="52"/>
    <x v="17"/>
    <n v="192.78"/>
    <x v="33"/>
    <x v="2"/>
  </r>
  <r>
    <x v="53"/>
    <x v="5"/>
    <s v="ARTIZONE S INJ 100ML"/>
    <x v="4"/>
    <n v="2"/>
    <x v="53"/>
    <x v="6"/>
    <n v="248.9"/>
    <x v="34"/>
    <x v="1"/>
  </r>
  <r>
    <x v="54"/>
    <x v="5"/>
    <s v="ASCORIL + EXPT 120ML"/>
    <x v="3"/>
    <n v="5"/>
    <x v="54"/>
    <x v="7"/>
    <n v="2344"/>
    <x v="14"/>
    <x v="0"/>
  </r>
  <r>
    <x v="55"/>
    <x v="5"/>
    <s v="ASCORIL D + SYP"/>
    <x v="1"/>
    <n v="2"/>
    <x v="55"/>
    <x v="6"/>
    <n v="154.5"/>
    <x v="35"/>
    <x v="1"/>
  </r>
  <r>
    <x v="56"/>
    <x v="5"/>
    <s v="ASCORIL LS + SYP"/>
    <x v="1"/>
    <n v="2"/>
    <x v="55"/>
    <x v="1"/>
    <n v="299.35000000000002"/>
    <x v="36"/>
    <x v="1"/>
  </r>
  <r>
    <x v="57"/>
    <x v="5"/>
    <s v="ASCORIL LS EXPT"/>
    <x v="3"/>
    <n v="2"/>
    <x v="56"/>
    <x v="6"/>
    <n v="144.84"/>
    <x v="35"/>
    <x v="1"/>
  </r>
  <r>
    <x v="58"/>
    <x v="5"/>
    <s v="ASTHAKIND EXPT 100ML"/>
    <x v="3"/>
    <n v="2"/>
    <x v="57"/>
    <x v="6"/>
    <n v="110"/>
    <x v="10"/>
    <x v="1"/>
  </r>
  <r>
    <x v="59"/>
    <x v="5"/>
    <s v="ASTHALIN INHALER"/>
    <x v="3"/>
    <n v="2"/>
    <x v="58"/>
    <x v="21"/>
    <n v="1419.94"/>
    <x v="37"/>
    <x v="0"/>
  </r>
  <r>
    <x v="60"/>
    <x v="6"/>
    <s v="ASTHALIN RESPULES 2ML"/>
    <x v="3"/>
    <n v="2"/>
    <x v="59"/>
    <x v="4"/>
    <n v="38.85"/>
    <x v="37"/>
    <x v="0"/>
  </r>
  <r>
    <x v="61"/>
    <x v="6"/>
    <s v="ASTHALIN ROTACAPS"/>
    <x v="3"/>
    <n v="2"/>
    <x v="60"/>
    <x v="6"/>
    <n v="65.260000000000005"/>
    <x v="37"/>
    <x v="1"/>
  </r>
  <r>
    <x v="62"/>
    <x v="6"/>
    <s v="ATARAX 10MG TAB"/>
    <x v="0"/>
    <n v="5"/>
    <x v="61"/>
    <x v="0"/>
    <n v="57.75"/>
    <x v="38"/>
    <x v="0"/>
  </r>
  <r>
    <x v="63"/>
    <x v="6"/>
    <s v="ATARAX 25MG TAB"/>
    <x v="0"/>
    <n v="5"/>
    <x v="62"/>
    <x v="15"/>
    <n v="206.49"/>
    <x v="38"/>
    <x v="2"/>
  </r>
  <r>
    <x v="64"/>
    <x v="6"/>
    <s v="ATORLIP 10MG TAB"/>
    <x v="0"/>
    <n v="7"/>
    <x v="63"/>
    <x v="17"/>
    <n v="330.16"/>
    <x v="39"/>
    <x v="2"/>
  </r>
  <r>
    <x v="65"/>
    <x v="6"/>
    <s v="ATORVA 5MG TAB"/>
    <x v="0"/>
    <n v="5"/>
    <x v="64"/>
    <x v="22"/>
    <n v="453.12"/>
    <x v="18"/>
    <x v="2"/>
  </r>
  <r>
    <x v="66"/>
    <x v="6"/>
    <s v="AUGMED 625MG TAB"/>
    <x v="0"/>
    <n v="10"/>
    <x v="65"/>
    <x v="20"/>
    <n v="3725.4"/>
    <x v="40"/>
    <x v="2"/>
  </r>
  <r>
    <x v="67"/>
    <x v="6"/>
    <s v="AUGMENTIN 625MG TAB"/>
    <x v="0"/>
    <n v="5"/>
    <x v="66"/>
    <x v="7"/>
    <n v="286.8"/>
    <x v="41"/>
    <x v="0"/>
  </r>
  <r>
    <x v="68"/>
    <x v="6"/>
    <s v="AUGMENTIN DUO 625MG TAB"/>
    <x v="0"/>
    <n v="7"/>
    <x v="67"/>
    <x v="23"/>
    <n v="1765.35"/>
    <x v="42"/>
    <x v="2"/>
  </r>
  <r>
    <x v="69"/>
    <x v="7"/>
    <s v="AUGMENTIN DUO DRY SYP 30ML"/>
    <x v="1"/>
    <n v="2"/>
    <x v="68"/>
    <x v="6"/>
    <n v="67.540000000000006"/>
    <x v="14"/>
    <x v="1"/>
  </r>
  <r>
    <x v="70"/>
    <x v="7"/>
    <s v="AVIL INJ AMP"/>
    <x v="4"/>
    <n v="2"/>
    <x v="69"/>
    <x v="4"/>
    <n v="31.3"/>
    <x v="43"/>
    <x v="0"/>
  </r>
  <r>
    <x v="71"/>
    <x v="7"/>
    <s v="AXCER 90MG TAB"/>
    <x v="0"/>
    <n v="5"/>
    <x v="70"/>
    <x v="2"/>
    <n v="982.49"/>
    <x v="44"/>
    <x v="2"/>
  </r>
  <r>
    <x v="72"/>
    <x v="7"/>
    <s v="AZINCURE 500MG TAB"/>
    <x v="0"/>
    <n v="5"/>
    <x v="71"/>
    <x v="24"/>
    <n v="993.23"/>
    <x v="45"/>
    <x v="2"/>
  </r>
  <r>
    <x v="73"/>
    <x v="7"/>
    <s v="AZITHRAL 500MG TAB"/>
    <x v="0"/>
    <n v="2"/>
    <x v="71"/>
    <x v="4"/>
    <n v="131.99"/>
    <x v="46"/>
    <x v="0"/>
  </r>
  <r>
    <x v="74"/>
    <x v="7"/>
    <s v="AZTOR ASP 75MG CAP"/>
    <x v="3"/>
    <n v="5"/>
    <x v="72"/>
    <x v="15"/>
    <n v="142.02000000000001"/>
    <x v="44"/>
    <x v="2"/>
  </r>
  <r>
    <x v="75"/>
    <x v="7"/>
    <s v="BACTOCLAV 625MG TAB"/>
    <x v="0"/>
    <n v="5"/>
    <x v="73"/>
    <x v="25"/>
    <n v="245.96"/>
    <x v="47"/>
    <x v="0"/>
  </r>
  <r>
    <x v="76"/>
    <x v="7"/>
    <s v="BAIDYANATH HONEY 200GM"/>
    <x v="3"/>
    <n v="2"/>
    <x v="74"/>
    <x v="6"/>
    <n v="145"/>
    <x v="48"/>
    <x v="1"/>
  </r>
  <r>
    <x v="77"/>
    <x v="7"/>
    <s v="BAJAJ ALMOND DROPS 200ML"/>
    <x v="3"/>
    <n v="2"/>
    <x v="75"/>
    <x v="6"/>
    <n v="165"/>
    <x v="49"/>
    <x v="1"/>
  </r>
  <r>
    <x v="78"/>
    <x v="7"/>
    <s v="BAJAJ ALMOND DROPS 300ML"/>
    <x v="3"/>
    <n v="2"/>
    <x v="76"/>
    <x v="1"/>
    <n v="450"/>
    <x v="49"/>
    <x v="1"/>
  </r>
  <r>
    <x v="79"/>
    <x v="7"/>
    <s v="BANDAGE CLOTH 10CM X 10MT"/>
    <x v="3"/>
    <n v="5"/>
    <x v="77"/>
    <x v="26"/>
    <n v="1160"/>
    <x v="50"/>
    <x v="2"/>
  </r>
  <r>
    <x v="80"/>
    <x v="7"/>
    <s v="BANDAGE CLOTH 5CM X 10MT"/>
    <x v="3"/>
    <n v="5"/>
    <x v="78"/>
    <x v="12"/>
    <n v="200"/>
    <x v="51"/>
    <x v="0"/>
  </r>
  <r>
    <x v="81"/>
    <x v="8"/>
    <s v="BANDY PLUS 12MG TAB"/>
    <x v="0"/>
    <n v="2"/>
    <x v="79"/>
    <x v="6"/>
    <n v="40.799999999999997"/>
    <x v="52"/>
    <x v="1"/>
  </r>
  <r>
    <x v="82"/>
    <x v="8"/>
    <s v="BASUGINE 100IU CARTRIDGE"/>
    <x v="3"/>
    <n v="2"/>
    <x v="80"/>
    <x v="27"/>
    <n v="2563.1999999999998"/>
    <x v="53"/>
    <x v="0"/>
  </r>
  <r>
    <x v="83"/>
    <x v="8"/>
    <s v="BD 40IU SYRINGE 1ML"/>
    <x v="3"/>
    <n v="2"/>
    <x v="81"/>
    <x v="1"/>
    <n v="20.6"/>
    <x v="54"/>
    <x v="1"/>
  </r>
  <r>
    <x v="84"/>
    <x v="8"/>
    <s v="BD ULTRA FINE III PEN NEEDLES SMALLEST EVER 4MM"/>
    <x v="3"/>
    <n v="5"/>
    <x v="82"/>
    <x v="12"/>
    <n v="206"/>
    <x v="55"/>
    <x v="0"/>
  </r>
  <r>
    <x v="85"/>
    <x v="8"/>
    <s v="BECADEXAMIN CAP"/>
    <x v="3"/>
    <n v="10"/>
    <x v="83"/>
    <x v="28"/>
    <n v="561.97"/>
    <x v="56"/>
    <x v="2"/>
  </r>
  <r>
    <x v="86"/>
    <x v="8"/>
    <s v="BECOSULES CAP"/>
    <x v="3"/>
    <n v="10"/>
    <x v="84"/>
    <x v="29"/>
    <n v="607.82000000000005"/>
    <x v="57"/>
    <x v="2"/>
  </r>
  <r>
    <x v="87"/>
    <x v="8"/>
    <s v="BELLADONA PLASTER BDF"/>
    <x v="3"/>
    <n v="5"/>
    <x v="85"/>
    <x v="0"/>
    <n v="330"/>
    <x v="58"/>
    <x v="0"/>
  </r>
  <r>
    <x v="88"/>
    <x v="8"/>
    <s v="BENADRYL COUGH FORMULA 150ML"/>
    <x v="3"/>
    <n v="5"/>
    <x v="86"/>
    <x v="30"/>
    <n v="3060"/>
    <x v="59"/>
    <x v="0"/>
  </r>
  <r>
    <x v="89"/>
    <x v="8"/>
    <s v="BETADINE 10% OINT 20GM"/>
    <x v="3"/>
    <n v="5"/>
    <x v="87"/>
    <x v="31"/>
    <n v="1512.06"/>
    <x v="60"/>
    <x v="0"/>
  </r>
  <r>
    <x v="90"/>
    <x v="8"/>
    <s v="BETADINE 10% SOLUTION 100ML"/>
    <x v="3"/>
    <n v="2"/>
    <x v="88"/>
    <x v="14"/>
    <n v="322.42"/>
    <x v="60"/>
    <x v="0"/>
  </r>
  <r>
    <x v="91"/>
    <x v="8"/>
    <s v="BETADINE GARGLE BIG"/>
    <x v="3"/>
    <n v="5"/>
    <x v="89"/>
    <x v="25"/>
    <n v="3904.51"/>
    <x v="60"/>
    <x v="0"/>
  </r>
  <r>
    <x v="92"/>
    <x v="8"/>
    <s v="BETADINE OINT 250GM"/>
    <x v="3"/>
    <n v="2"/>
    <x v="90"/>
    <x v="6"/>
    <n v="754.69"/>
    <x v="60"/>
    <x v="1"/>
  </r>
  <r>
    <x v="93"/>
    <x v="9"/>
    <s v="BETT AMPOULE OF 0.5ML SUSP FOR VACCINE"/>
    <x v="2"/>
    <n v="2"/>
    <x v="91"/>
    <x v="32"/>
    <n v="79.86"/>
    <x v="61"/>
    <x v="0"/>
  </r>
  <r>
    <x v="94"/>
    <x v="9"/>
    <s v="BETT INJ 0.5ML"/>
    <x v="4"/>
    <n v="5"/>
    <x v="92"/>
    <x v="7"/>
    <n v="183.26"/>
    <x v="62"/>
    <x v="0"/>
  </r>
  <r>
    <x v="95"/>
    <x v="9"/>
    <s v="BEVON SYP 200ML"/>
    <x v="1"/>
    <n v="2"/>
    <x v="93"/>
    <x v="6"/>
    <n v="201.4"/>
    <x v="63"/>
    <x v="1"/>
  </r>
  <r>
    <x v="96"/>
    <x v="9"/>
    <s v="BILAFAV M TAB"/>
    <x v="0"/>
    <n v="5"/>
    <x v="94"/>
    <x v="15"/>
    <n v="638.88"/>
    <x v="64"/>
    <x v="2"/>
  </r>
  <r>
    <x v="97"/>
    <x v="9"/>
    <s v="BILAGRA 20MG TAB"/>
    <x v="0"/>
    <n v="5"/>
    <x v="95"/>
    <x v="12"/>
    <n v="193.05"/>
    <x v="2"/>
    <x v="0"/>
  </r>
  <r>
    <x v="98"/>
    <x v="9"/>
    <s v="BILAHASTA 20MG TAB"/>
    <x v="0"/>
    <n v="7"/>
    <x v="96"/>
    <x v="17"/>
    <n v="970.2"/>
    <x v="14"/>
    <x v="2"/>
  </r>
  <r>
    <x v="99"/>
    <x v="9"/>
    <s v="BILAHASTA M"/>
    <x v="3"/>
    <n v="10"/>
    <x v="97"/>
    <x v="33"/>
    <n v="11019.73"/>
    <x v="65"/>
    <x v="2"/>
  </r>
  <r>
    <x v="100"/>
    <x v="10"/>
    <s v="BILASHINE 40MG TAB"/>
    <x v="0"/>
    <n v="5"/>
    <x v="98"/>
    <x v="12"/>
    <n v="236"/>
    <x v="66"/>
    <x v="0"/>
  </r>
  <r>
    <x v="101"/>
    <x v="10"/>
    <s v="BILASURE M TAB"/>
    <x v="0"/>
    <n v="5"/>
    <x v="99"/>
    <x v="12"/>
    <n v="207"/>
    <x v="66"/>
    <x v="0"/>
  </r>
  <r>
    <x v="102"/>
    <x v="10"/>
    <s v="BIOLINE HEAL AND SOOTHES CRACKED FEET GEL 25GM"/>
    <x v="3"/>
    <n v="2"/>
    <x v="100"/>
    <x v="1"/>
    <n v="180"/>
    <x v="67"/>
    <x v="1"/>
  </r>
  <r>
    <x v="103"/>
    <x v="10"/>
    <s v="BIOVIT XT CAP"/>
    <x v="3"/>
    <n v="5"/>
    <x v="101"/>
    <x v="11"/>
    <n v="406"/>
    <x v="68"/>
    <x v="0"/>
  </r>
  <r>
    <x v="104"/>
    <x v="11"/>
    <s v="BLUVIT CZ CHEW TAB"/>
    <x v="0"/>
    <n v="5"/>
    <x v="102"/>
    <x v="15"/>
    <n v="130"/>
    <x v="69"/>
    <x v="2"/>
  </r>
  <r>
    <x v="105"/>
    <x v="11"/>
    <s v="BONMIN K2 TAB"/>
    <x v="0"/>
    <n v="5"/>
    <x v="103"/>
    <x v="11"/>
    <n v="610"/>
    <x v="70"/>
    <x v="0"/>
  </r>
  <r>
    <x v="106"/>
    <x v="11"/>
    <s v="BORO PLUS ANTISEPTIC CREAM 80GM"/>
    <x v="3"/>
    <n v="5"/>
    <x v="104"/>
    <x v="34"/>
    <n v="2640"/>
    <x v="71"/>
    <x v="0"/>
  </r>
  <r>
    <x v="107"/>
    <x v="11"/>
    <s v="BORO PLUS CREAM 20GM"/>
    <x v="3"/>
    <n v="2"/>
    <x v="105"/>
    <x v="32"/>
    <n v="270"/>
    <x v="71"/>
    <x v="0"/>
  </r>
  <r>
    <x v="108"/>
    <x v="11"/>
    <s v="BORO PLUS CREAM 40GM"/>
    <x v="3"/>
    <n v="5"/>
    <x v="106"/>
    <x v="35"/>
    <n v="1639"/>
    <x v="71"/>
    <x v="0"/>
  </r>
  <r>
    <x v="109"/>
    <x v="11"/>
    <s v="BOROLINE CREAM 20GM"/>
    <x v="3"/>
    <n v="5"/>
    <x v="105"/>
    <x v="25"/>
    <n v="512"/>
    <x v="72"/>
    <x v="0"/>
  </r>
  <r>
    <x v="110"/>
    <x v="12"/>
    <s v="BRO ZEDEX SYP"/>
    <x v="1"/>
    <n v="5"/>
    <x v="107"/>
    <x v="36"/>
    <n v="2381.02"/>
    <x v="8"/>
    <x v="0"/>
  </r>
  <r>
    <x v="111"/>
    <x v="12"/>
    <s v="BROMHEXINE ELIXIR 100ML"/>
    <x v="3"/>
    <n v="2"/>
    <x v="108"/>
    <x v="1"/>
    <n v="314.5"/>
    <x v="73"/>
    <x v="1"/>
  </r>
  <r>
    <x v="112"/>
    <x v="12"/>
    <s v="BROZEDEX 100ML SYP"/>
    <x v="1"/>
    <n v="2"/>
    <x v="107"/>
    <x v="21"/>
    <n v="1437.85"/>
    <x v="14"/>
    <x v="0"/>
  </r>
  <r>
    <x v="113"/>
    <x v="12"/>
    <s v="BRUFEN 200MG TAB"/>
    <x v="0"/>
    <n v="7"/>
    <x v="109"/>
    <x v="37"/>
    <n v="60.97"/>
    <x v="74"/>
    <x v="2"/>
  </r>
  <r>
    <x v="114"/>
    <x v="12"/>
    <s v="BRUTAFLAM MR TAB"/>
    <x v="0"/>
    <n v="5"/>
    <x v="110"/>
    <x v="12"/>
    <n v="225.73"/>
    <x v="52"/>
    <x v="0"/>
  </r>
  <r>
    <x v="115"/>
    <x v="12"/>
    <s v="BUDECORT 0.5MG RESPULES"/>
    <x v="3"/>
    <n v="10"/>
    <x v="111"/>
    <x v="38"/>
    <n v="2665"/>
    <x v="37"/>
    <x v="2"/>
  </r>
  <r>
    <x v="116"/>
    <x v="12"/>
    <s v="BURNHEAL CREAM"/>
    <x v="3"/>
    <n v="7"/>
    <x v="112"/>
    <x v="39"/>
    <n v="6240.25"/>
    <x v="75"/>
    <x v="2"/>
  </r>
  <r>
    <x v="117"/>
    <x v="12"/>
    <s v="CALAIDXT"/>
    <x v="3"/>
    <n v="5"/>
    <x v="113"/>
    <x v="15"/>
    <n v="421.5"/>
    <x v="76"/>
    <x v="2"/>
  </r>
  <r>
    <x v="118"/>
    <x v="13"/>
    <s v="CALAPURE A LOTION 100ML"/>
    <x v="3"/>
    <n v="2"/>
    <x v="114"/>
    <x v="6"/>
    <n v="231"/>
    <x v="10"/>
    <x v="1"/>
  </r>
  <r>
    <x v="119"/>
    <x v="13"/>
    <s v="CALCIJOINT D3 TAB"/>
    <x v="0"/>
    <n v="2"/>
    <x v="115"/>
    <x v="21"/>
    <n v="269"/>
    <x v="77"/>
    <x v="0"/>
  </r>
  <r>
    <x v="120"/>
    <x v="13"/>
    <s v="CALOSOFT AF LOTION 100ML"/>
    <x v="3"/>
    <n v="2"/>
    <x v="116"/>
    <x v="4"/>
    <n v="1415"/>
    <x v="78"/>
    <x v="0"/>
  </r>
  <r>
    <x v="121"/>
    <x v="13"/>
    <s v="CALOSOFT PLUS LOTION 100ML"/>
    <x v="3"/>
    <n v="2"/>
    <x v="117"/>
    <x v="4"/>
    <n v="2265"/>
    <x v="78"/>
    <x v="0"/>
  </r>
  <r>
    <x v="122"/>
    <x v="14"/>
    <s v="CALPOL 500 + TAB"/>
    <x v="0"/>
    <n v="5"/>
    <x v="118"/>
    <x v="40"/>
    <n v="24.93"/>
    <x v="79"/>
    <x v="2"/>
  </r>
  <r>
    <x v="123"/>
    <x v="14"/>
    <s v="CANDIBIOTIC PLUS EAR DROPS 5ML"/>
    <x v="3"/>
    <n v="5"/>
    <x v="119"/>
    <x v="40"/>
    <n v="2650"/>
    <x v="14"/>
    <x v="2"/>
  </r>
  <r>
    <x v="124"/>
    <x v="14"/>
    <s v="CANDID B CREAM 20GM"/>
    <x v="3"/>
    <n v="2"/>
    <x v="120"/>
    <x v="6"/>
    <n v="182"/>
    <x v="80"/>
    <x v="1"/>
  </r>
  <r>
    <x v="125"/>
    <x v="14"/>
    <s v="CANDID CREAM 30GM"/>
    <x v="3"/>
    <n v="2"/>
    <x v="121"/>
    <x v="1"/>
    <n v="201.6"/>
    <x v="80"/>
    <x v="1"/>
  </r>
  <r>
    <x v="126"/>
    <x v="14"/>
    <s v="CANDID DUSTING POWDER"/>
    <x v="3"/>
    <n v="5"/>
    <x v="122"/>
    <x v="31"/>
    <n v="1903.13"/>
    <x v="36"/>
    <x v="0"/>
  </r>
  <r>
    <x v="127"/>
    <x v="15"/>
    <s v="CANDID POWDER 100GM"/>
    <x v="3"/>
    <n v="2"/>
    <x v="123"/>
    <x v="21"/>
    <n v="1112"/>
    <x v="80"/>
    <x v="0"/>
  </r>
  <r>
    <x v="128"/>
    <x v="15"/>
    <s v="CANDIFORCE 100MG CAP 10'S"/>
    <x v="3"/>
    <n v="5"/>
    <x v="124"/>
    <x v="12"/>
    <n v="144.6"/>
    <x v="81"/>
    <x v="0"/>
  </r>
  <r>
    <x v="129"/>
    <x v="15"/>
    <s v="CANDIFORCE 200MG CAP 10'S"/>
    <x v="3"/>
    <n v="5"/>
    <x v="125"/>
    <x v="12"/>
    <n v="247.7"/>
    <x v="81"/>
    <x v="0"/>
  </r>
  <r>
    <x v="130"/>
    <x v="15"/>
    <s v="CEFLOX E/E DROPS"/>
    <x v="3"/>
    <n v="2"/>
    <x v="126"/>
    <x v="14"/>
    <n v="156"/>
    <x v="82"/>
    <x v="0"/>
  </r>
  <r>
    <x v="131"/>
    <x v="15"/>
    <s v="CEFTUM 500MG TAB"/>
    <x v="0"/>
    <n v="5"/>
    <x v="127"/>
    <x v="12"/>
    <n v="576.03"/>
    <x v="56"/>
    <x v="0"/>
  </r>
  <r>
    <x v="132"/>
    <x v="15"/>
    <s v="CETAPHIL BABY DAILY LOTION 400ML"/>
    <x v="3"/>
    <n v="2"/>
    <x v="128"/>
    <x v="6"/>
    <n v="950"/>
    <x v="83"/>
    <x v="1"/>
  </r>
  <r>
    <x v="133"/>
    <x v="15"/>
    <s v="CETAPHIL CLEANSING &amp; MOISTURISING BAR"/>
    <x v="3"/>
    <n v="2"/>
    <x v="129"/>
    <x v="6"/>
    <n v="669"/>
    <x v="83"/>
    <x v="1"/>
  </r>
  <r>
    <x v="134"/>
    <x v="16"/>
    <s v="CETAPHIL CLEANSING LOTION 250ML"/>
    <x v="3"/>
    <n v="2"/>
    <x v="130"/>
    <x v="1"/>
    <n v="2307"/>
    <x v="83"/>
    <x v="1"/>
  </r>
  <r>
    <x v="135"/>
    <x v="16"/>
    <s v="CETAPHIL GENTLE SENSITIVE SKIN CLEANSER 125ML"/>
    <x v="3"/>
    <n v="2"/>
    <x v="131"/>
    <x v="6"/>
    <n v="429"/>
    <x v="83"/>
    <x v="1"/>
  </r>
  <r>
    <x v="136"/>
    <x v="16"/>
    <s v="CETAPHIL GENTLE SKIN CLEANSER LOTION 250ML"/>
    <x v="3"/>
    <n v="2"/>
    <x v="130"/>
    <x v="1"/>
    <n v="1538"/>
    <x v="83"/>
    <x v="1"/>
  </r>
  <r>
    <x v="137"/>
    <x v="16"/>
    <s v="CETAPHIL MOIST CREAM 80GM"/>
    <x v="3"/>
    <n v="5"/>
    <x v="132"/>
    <x v="25"/>
    <n v="8028"/>
    <x v="83"/>
    <x v="0"/>
  </r>
  <r>
    <x v="138"/>
    <x v="17"/>
    <s v="CETAPHIL OILY SKIN CLEANCER 250ML"/>
    <x v="3"/>
    <n v="2"/>
    <x v="133"/>
    <x v="6"/>
    <n v="1099"/>
    <x v="83"/>
    <x v="1"/>
  </r>
  <r>
    <x v="139"/>
    <x v="17"/>
    <s v="CETAPHIL OILY SKIN CLEANSER 125ML"/>
    <x v="3"/>
    <n v="2"/>
    <x v="134"/>
    <x v="14"/>
    <n v="2097"/>
    <x v="83"/>
    <x v="0"/>
  </r>
  <r>
    <x v="140"/>
    <x v="17"/>
    <s v="CETAPHIL SUN SPF 30 GEL"/>
    <x v="3"/>
    <n v="2"/>
    <x v="135"/>
    <x v="6"/>
    <n v="1313"/>
    <x v="83"/>
    <x v="1"/>
  </r>
  <r>
    <x v="141"/>
    <x v="17"/>
    <s v="CHESTON COLD TAB"/>
    <x v="0"/>
    <n v="10"/>
    <x v="136"/>
    <x v="41"/>
    <n v="738.98"/>
    <x v="75"/>
    <x v="2"/>
  </r>
  <r>
    <x v="142"/>
    <x v="18"/>
    <s v="CHYMORAL FORTE TAB"/>
    <x v="0"/>
    <n v="5"/>
    <x v="137"/>
    <x v="11"/>
    <n v="467.8"/>
    <x v="84"/>
    <x v="0"/>
  </r>
  <r>
    <x v="143"/>
    <x v="18"/>
    <s v="CIFRAN 500MG TAB"/>
    <x v="0"/>
    <n v="5"/>
    <x v="138"/>
    <x v="15"/>
    <n v="142.44"/>
    <x v="85"/>
    <x v="2"/>
  </r>
  <r>
    <x v="144"/>
    <x v="18"/>
    <s v="CILACAR T 40MG TAB"/>
    <x v="0"/>
    <n v="5"/>
    <x v="139"/>
    <x v="0"/>
    <n v="265.88"/>
    <x v="86"/>
    <x v="0"/>
  </r>
  <r>
    <x v="145"/>
    <x v="18"/>
    <s v="CILACAR 20MG TAB"/>
    <x v="0"/>
    <n v="5"/>
    <x v="140"/>
    <x v="15"/>
    <n v="709.86"/>
    <x v="86"/>
    <x v="2"/>
  </r>
  <r>
    <x v="146"/>
    <x v="18"/>
    <s v="CILACAR M 10/50MG TAB"/>
    <x v="0"/>
    <n v="7"/>
    <x v="141"/>
    <x v="17"/>
    <n v="1138.02"/>
    <x v="86"/>
    <x v="2"/>
  </r>
  <r>
    <x v="147"/>
    <x v="19"/>
    <s v="CILICAD 5MG TAB"/>
    <x v="0"/>
    <n v="5"/>
    <x v="142"/>
    <x v="15"/>
    <n v="132.18"/>
    <x v="87"/>
    <x v="2"/>
  </r>
  <r>
    <x v="148"/>
    <x v="20"/>
    <s v="CINTHOL ORIGINAL SOAP 100GM"/>
    <x v="3"/>
    <n v="2"/>
    <x v="143"/>
    <x v="27"/>
    <n v="176"/>
    <x v="88"/>
    <x v="0"/>
  </r>
  <r>
    <x v="149"/>
    <x v="21"/>
    <s v="CINTHOL TALC LIME 100GM"/>
    <x v="3"/>
    <n v="2"/>
    <x v="144"/>
    <x v="1"/>
    <n v="90"/>
    <x v="88"/>
    <x v="1"/>
  </r>
  <r>
    <x v="150"/>
    <x v="22"/>
    <s v="CIPCAL 500MG TAB"/>
    <x v="0"/>
    <n v="10"/>
    <x v="145"/>
    <x v="42"/>
    <n v="837.28"/>
    <x v="75"/>
    <x v="2"/>
  </r>
  <r>
    <x v="151"/>
    <x v="23"/>
    <s v="CIPLADINE 5% OINT 125GM"/>
    <x v="3"/>
    <n v="2"/>
    <x v="146"/>
    <x v="21"/>
    <n v="1645.6"/>
    <x v="75"/>
    <x v="0"/>
  </r>
  <r>
    <x v="152"/>
    <x v="24"/>
    <s v="CIPLADINE 5% OINT 20GM"/>
    <x v="3"/>
    <n v="5"/>
    <x v="147"/>
    <x v="35"/>
    <n v="1257.19"/>
    <x v="75"/>
    <x v="0"/>
  </r>
  <r>
    <x v="153"/>
    <x v="24"/>
    <s v="CIPLADINE ANTISEP BANDAGE WASH"/>
    <x v="3"/>
    <n v="10"/>
    <x v="148"/>
    <x v="43"/>
    <n v="1908"/>
    <x v="89"/>
    <x v="2"/>
  </r>
  <r>
    <x v="154"/>
    <x v="24"/>
    <s v="CIPLADINE POWDER"/>
    <x v="3"/>
    <n v="7"/>
    <x v="149"/>
    <x v="44"/>
    <n v="4681.5600000000004"/>
    <x v="75"/>
    <x v="2"/>
  </r>
  <r>
    <x v="155"/>
    <x v="24"/>
    <s v="CIPLOX 250MG TAB"/>
    <x v="0"/>
    <n v="5"/>
    <x v="150"/>
    <x v="12"/>
    <n v="24.64"/>
    <x v="19"/>
    <x v="0"/>
  </r>
  <r>
    <x v="156"/>
    <x v="24"/>
    <s v="CIPLOX E/E DROPS 10ML"/>
    <x v="3"/>
    <n v="5"/>
    <x v="151"/>
    <x v="25"/>
    <n v="208.47"/>
    <x v="19"/>
    <x v="0"/>
  </r>
  <r>
    <x v="157"/>
    <x v="24"/>
    <s v="CIPRODAC 500MG TAB"/>
    <x v="0"/>
    <n v="5"/>
    <x v="152"/>
    <x v="30"/>
    <n v="84.16"/>
    <x v="90"/>
    <x v="0"/>
  </r>
  <r>
    <x v="158"/>
    <x v="24"/>
    <s v="CIPZEN D TAB"/>
    <x v="0"/>
    <n v="5"/>
    <x v="153"/>
    <x v="12"/>
    <n v="157.30000000000001"/>
    <x v="75"/>
    <x v="0"/>
  </r>
  <r>
    <x v="159"/>
    <x v="24"/>
    <s v="CITALIN FORTE TAB"/>
    <x v="0"/>
    <n v="5"/>
    <x v="154"/>
    <x v="15"/>
    <n v="480.3"/>
    <x v="91"/>
    <x v="2"/>
  </r>
  <r>
    <x v="160"/>
    <x v="25"/>
    <s v="CLAVAM 625MG TAB"/>
    <x v="0"/>
    <n v="5"/>
    <x v="155"/>
    <x v="25"/>
    <n v="248.06"/>
    <x v="92"/>
    <x v="0"/>
  </r>
  <r>
    <x v="161"/>
    <x v="25"/>
    <s v="CLAVEP 200 TAB"/>
    <x v="0"/>
    <n v="5"/>
    <x v="156"/>
    <x v="9"/>
    <n v="824.25"/>
    <x v="93"/>
    <x v="2"/>
  </r>
  <r>
    <x v="162"/>
    <x v="25"/>
    <s v="CLEARGEL 20GM GEL"/>
    <x v="3"/>
    <n v="2"/>
    <x v="157"/>
    <x v="32"/>
    <n v="1170"/>
    <x v="94"/>
    <x v="0"/>
  </r>
  <r>
    <x v="163"/>
    <x v="25"/>
    <s v="CLEARGEL AP GEL"/>
    <x v="3"/>
    <n v="5"/>
    <x v="158"/>
    <x v="11"/>
    <n v="7356"/>
    <x v="94"/>
    <x v="0"/>
  </r>
  <r>
    <x v="164"/>
    <x v="26"/>
    <s v="CLEARWAX EAR DROPS"/>
    <x v="3"/>
    <n v="2"/>
    <x v="159"/>
    <x v="27"/>
    <n v="354"/>
    <x v="75"/>
    <x v="0"/>
  </r>
  <r>
    <x v="165"/>
    <x v="26"/>
    <s v="CLENSTA PLUS NATURE SHAMPOO 400ML"/>
    <x v="3"/>
    <n v="2"/>
    <x v="160"/>
    <x v="6"/>
    <n v="393"/>
    <x v="95"/>
    <x v="1"/>
  </r>
  <r>
    <x v="166"/>
    <x v="26"/>
    <s v="CLINSOL GEL"/>
    <x v="3"/>
    <n v="2"/>
    <x v="161"/>
    <x v="14"/>
    <n v="275.62"/>
    <x v="77"/>
    <x v="0"/>
  </r>
  <r>
    <x v="167"/>
    <x v="27"/>
    <s v="CLOBEN G CREAM 15GM"/>
    <x v="3"/>
    <n v="2"/>
    <x v="162"/>
    <x v="6"/>
    <n v="128.44999999999999"/>
    <x v="96"/>
    <x v="1"/>
  </r>
  <r>
    <x v="168"/>
    <x v="27"/>
    <s v="CLOBETA GM CREAM 20GM"/>
    <x v="3"/>
    <n v="2"/>
    <x v="163"/>
    <x v="1"/>
    <n v="268.39999999999998"/>
    <x v="82"/>
    <x v="1"/>
  </r>
  <r>
    <x v="169"/>
    <x v="27"/>
    <s v="CLOHEX ADS MOUTH WASH"/>
    <x v="3"/>
    <n v="2"/>
    <x v="164"/>
    <x v="6"/>
    <n v="262.5"/>
    <x v="97"/>
    <x v="1"/>
  </r>
  <r>
    <x v="170"/>
    <x v="28"/>
    <s v="CLOVE OIL 5ML"/>
    <x v="3"/>
    <n v="2"/>
    <x v="165"/>
    <x v="14"/>
    <n v="60"/>
    <x v="98"/>
    <x v="0"/>
  </r>
  <r>
    <x v="171"/>
    <x v="28"/>
    <s v="CLOZOB POWDER"/>
    <x v="3"/>
    <n v="2"/>
    <x v="166"/>
    <x v="6"/>
    <n v="106"/>
    <x v="99"/>
    <x v="1"/>
  </r>
  <r>
    <x v="172"/>
    <x v="28"/>
    <s v="COBADEX CZS TAB"/>
    <x v="0"/>
    <n v="5"/>
    <x v="167"/>
    <x v="15"/>
    <n v="248.4"/>
    <x v="100"/>
    <x v="2"/>
  </r>
  <r>
    <x v="173"/>
    <x v="28"/>
    <s v="COFSILS BLISTER JAR"/>
    <x v="3"/>
    <n v="10"/>
    <x v="168"/>
    <x v="45"/>
    <n v="418"/>
    <x v="14"/>
    <x v="2"/>
  </r>
  <r>
    <x v="174"/>
    <x v="29"/>
    <s v="COFSILS GINGER LEMON LOZENGES"/>
    <x v="3"/>
    <n v="5"/>
    <x v="169"/>
    <x v="12"/>
    <n v="35"/>
    <x v="89"/>
    <x v="0"/>
  </r>
  <r>
    <x v="175"/>
    <x v="29"/>
    <s v="COFSILS ORANGE LOZENGES"/>
    <x v="3"/>
    <n v="7"/>
    <x v="170"/>
    <x v="46"/>
    <n v="99"/>
    <x v="89"/>
    <x v="2"/>
  </r>
  <r>
    <x v="176"/>
    <x v="29"/>
    <s v="COFSILS SYP"/>
    <x v="1"/>
    <n v="2"/>
    <x v="171"/>
    <x v="6"/>
    <n v="379.68"/>
    <x v="89"/>
    <x v="1"/>
  </r>
  <r>
    <x v="177"/>
    <x v="29"/>
    <s v="COGNISART H TAB"/>
    <x v="0"/>
    <n v="5"/>
    <x v="172"/>
    <x v="15"/>
    <n v="136"/>
    <x v="101"/>
    <x v="2"/>
  </r>
  <r>
    <x v="178"/>
    <x v="30"/>
    <s v="COLGATE MAX BLUE GEL 150GM"/>
    <x v="3"/>
    <n v="2"/>
    <x v="173"/>
    <x v="6"/>
    <n v="150"/>
    <x v="102"/>
    <x v="1"/>
  </r>
  <r>
    <x v="179"/>
    <x v="30"/>
    <s v="COLGATE MAXFRESH RED SPICY TOOTH PASTE 220GM"/>
    <x v="3"/>
    <n v="2"/>
    <x v="174"/>
    <x v="6"/>
    <n v="370"/>
    <x v="102"/>
    <x v="1"/>
  </r>
  <r>
    <x v="180"/>
    <x v="30"/>
    <s v="COLGATE PLAX FRESH TEA MOUTH WASH 250ML"/>
    <x v="3"/>
    <n v="2"/>
    <x v="175"/>
    <x v="1"/>
    <n v="90"/>
    <x v="102"/>
    <x v="1"/>
  </r>
  <r>
    <x v="181"/>
    <x v="30"/>
    <s v="COLGATE SLIM SOFT SENSITIVE BRUSH 1PCS"/>
    <x v="3"/>
    <n v="2"/>
    <x v="176"/>
    <x v="6"/>
    <n v="190"/>
    <x v="102"/>
    <x v="1"/>
  </r>
  <r>
    <x v="182"/>
    <x v="30"/>
    <s v="COLGATE TOTAL 12 TOOTH PASTE 150GM"/>
    <x v="3"/>
    <n v="2"/>
    <x v="177"/>
    <x v="6"/>
    <n v="190"/>
    <x v="102"/>
    <x v="1"/>
  </r>
  <r>
    <x v="183"/>
    <x v="31"/>
    <s v="COLGATE TOTAL CHARCOAL TOOTH PASTE 120GM"/>
    <x v="3"/>
    <n v="2"/>
    <x v="178"/>
    <x v="6"/>
    <n v="380"/>
    <x v="102"/>
    <x v="1"/>
  </r>
  <r>
    <x v="184"/>
    <x v="31"/>
    <s v="COLGATE VISIBLE TOOTH PASTE"/>
    <x v="3"/>
    <n v="2"/>
    <x v="179"/>
    <x v="1"/>
    <n v="99"/>
    <x v="102"/>
    <x v="1"/>
  </r>
  <r>
    <x v="185"/>
    <x v="31"/>
    <s v="COLGATE VISIBLE TOOTH PASTE 50GM"/>
    <x v="3"/>
    <n v="2"/>
    <x v="180"/>
    <x v="6"/>
    <n v="275.5"/>
    <x v="102"/>
    <x v="1"/>
  </r>
  <r>
    <x v="186"/>
    <x v="31"/>
    <s v="COLONISE FORTE CAP"/>
    <x v="3"/>
    <n v="5"/>
    <x v="181"/>
    <x v="12"/>
    <n v="195.02"/>
    <x v="103"/>
    <x v="0"/>
  </r>
  <r>
    <x v="187"/>
    <x v="32"/>
    <s v="COMBIFLAM TAB"/>
    <x v="0"/>
    <n v="7"/>
    <x v="182"/>
    <x v="47"/>
    <n v="264.36"/>
    <x v="43"/>
    <x v="2"/>
  </r>
  <r>
    <x v="188"/>
    <x v="32"/>
    <s v="CONCOR 5MG TAB"/>
    <x v="0"/>
    <n v="5"/>
    <x v="183"/>
    <x v="11"/>
    <n v="216.9"/>
    <x v="104"/>
    <x v="0"/>
  </r>
  <r>
    <x v="189"/>
    <x v="32"/>
    <s v="CONCOR COR 1.25MG TAB"/>
    <x v="0"/>
    <n v="5"/>
    <x v="184"/>
    <x v="15"/>
    <n v="384"/>
    <x v="105"/>
    <x v="2"/>
  </r>
  <r>
    <x v="190"/>
    <x v="32"/>
    <s v="CORN CAPS"/>
    <x v="3"/>
    <n v="2"/>
    <x v="185"/>
    <x v="21"/>
    <n v="2042"/>
    <x v="106"/>
    <x v="0"/>
  </r>
  <r>
    <x v="191"/>
    <x v="33"/>
    <s v="COTTON BANDAGE 10CM X 5M"/>
    <x v="3"/>
    <n v="7"/>
    <x v="186"/>
    <x v="48"/>
    <n v="594"/>
    <x v="107"/>
    <x v="2"/>
  </r>
  <r>
    <x v="192"/>
    <x v="33"/>
    <s v="COTTON WOOL 15GM"/>
    <x v="3"/>
    <n v="5"/>
    <x v="187"/>
    <x v="49"/>
    <n v="1916.26"/>
    <x v="108"/>
    <x v="2"/>
  </r>
  <r>
    <x v="193"/>
    <x v="33"/>
    <s v="COTTON WOOL 30GM"/>
    <x v="3"/>
    <n v="7"/>
    <x v="188"/>
    <x v="48"/>
    <n v="315"/>
    <x v="108"/>
    <x v="2"/>
  </r>
  <r>
    <x v="194"/>
    <x v="33"/>
    <s v="COTTON WOOL 60GM"/>
    <x v="3"/>
    <n v="2"/>
    <x v="189"/>
    <x v="4"/>
    <n v="2371.92"/>
    <x v="108"/>
    <x v="0"/>
  </r>
  <r>
    <x v="195"/>
    <x v="34"/>
    <s v="COVERSYL 4MG TAB"/>
    <x v="0"/>
    <n v="10"/>
    <x v="190"/>
    <x v="42"/>
    <n v="80"/>
    <x v="109"/>
    <x v="2"/>
  </r>
  <r>
    <x v="196"/>
    <x v="34"/>
    <s v="CRACK HEAL 25GM CREAM"/>
    <x v="3"/>
    <n v="2"/>
    <x v="191"/>
    <x v="6"/>
    <n v="311.95"/>
    <x v="110"/>
    <x v="1"/>
  </r>
  <r>
    <x v="197"/>
    <x v="34"/>
    <s v="CREMAGEL L CREAM"/>
    <x v="3"/>
    <n v="2"/>
    <x v="192"/>
    <x v="6"/>
    <n v="219.65"/>
    <x v="111"/>
    <x v="1"/>
  </r>
  <r>
    <x v="198"/>
    <x v="35"/>
    <s v="CROCIN 650MG TAB 15'S"/>
    <x v="0"/>
    <n v="10"/>
    <x v="193"/>
    <x v="38"/>
    <n v="67"/>
    <x v="112"/>
    <x v="2"/>
  </r>
  <r>
    <x v="199"/>
    <x v="35"/>
    <s v="CUFF Q TAB"/>
    <x v="0"/>
    <n v="5"/>
    <x v="194"/>
    <x v="11"/>
    <n v="471.55"/>
    <x v="113"/>
    <x v="0"/>
  </r>
  <r>
    <x v="200"/>
    <x v="35"/>
    <s v="CUTIMAX CREAM 150GM"/>
    <x v="3"/>
    <n v="2"/>
    <x v="195"/>
    <x v="6"/>
    <n v="795"/>
    <x v="11"/>
    <x v="1"/>
  </r>
  <r>
    <x v="201"/>
    <x v="35"/>
    <s v="CVIN CREAM 30GM"/>
    <x v="3"/>
    <n v="2"/>
    <x v="196"/>
    <x v="14"/>
    <n v="246.64"/>
    <x v="14"/>
    <x v="0"/>
  </r>
  <r>
    <x v="202"/>
    <x v="36"/>
    <s v="CYCLOPAM TAB"/>
    <x v="0"/>
    <n v="5"/>
    <x v="197"/>
    <x v="16"/>
    <n v="288.69"/>
    <x v="114"/>
    <x v="2"/>
  </r>
  <r>
    <x v="203"/>
    <x v="36"/>
    <s v="CYPON SYP"/>
    <x v="1"/>
    <n v="2"/>
    <x v="198"/>
    <x v="1"/>
    <n v="116.85"/>
    <x v="115"/>
    <x v="1"/>
  </r>
  <r>
    <x v="204"/>
    <x v="36"/>
    <s v="D COLD TOTAL TAB 6'S"/>
    <x v="0"/>
    <n v="5"/>
    <x v="199"/>
    <x v="15"/>
    <n v="103.4"/>
    <x v="116"/>
    <x v="2"/>
  </r>
  <r>
    <x v="205"/>
    <x v="36"/>
    <s v="D RISE 2000IU SOFGELS"/>
    <x v="3"/>
    <n v="5"/>
    <x v="200"/>
    <x v="12"/>
    <n v="131.54"/>
    <x v="117"/>
    <x v="0"/>
  </r>
  <r>
    <x v="206"/>
    <x v="36"/>
    <s v="D RISE 60K CAP"/>
    <x v="3"/>
    <n v="2"/>
    <x v="201"/>
    <x v="27"/>
    <n v="105"/>
    <x v="117"/>
    <x v="0"/>
  </r>
  <r>
    <x v="207"/>
    <x v="37"/>
    <s v="DABUR AMLA OIL 180ML"/>
    <x v="3"/>
    <n v="2"/>
    <x v="201"/>
    <x v="6"/>
    <n v="105"/>
    <x v="118"/>
    <x v="1"/>
  </r>
  <r>
    <x v="208"/>
    <x v="37"/>
    <s v="DABUR CHYAWANPRASH 500GM"/>
    <x v="3"/>
    <n v="2"/>
    <x v="202"/>
    <x v="6"/>
    <n v="240"/>
    <x v="118"/>
    <x v="1"/>
  </r>
  <r>
    <x v="209"/>
    <x v="37"/>
    <s v="DABUR GULABARI 250ML"/>
    <x v="3"/>
    <n v="2"/>
    <x v="203"/>
    <x v="6"/>
    <n v="92"/>
    <x v="118"/>
    <x v="1"/>
  </r>
  <r>
    <x v="210"/>
    <x v="38"/>
    <s v="DABUR HONEY SYP 100ML"/>
    <x v="1"/>
    <n v="2"/>
    <x v="204"/>
    <x v="6"/>
    <n v="125"/>
    <x v="118"/>
    <x v="1"/>
  </r>
  <r>
    <x v="211"/>
    <x v="38"/>
    <s v="DABAR RED TOOHT PASTE GEL 150GM"/>
    <x v="3"/>
    <n v="2"/>
    <x v="205"/>
    <x v="6"/>
    <n v="127"/>
    <x v="118"/>
    <x v="1"/>
  </r>
  <r>
    <x v="212"/>
    <x v="38"/>
    <s v="DAIRY MILK"/>
    <x v="3"/>
    <n v="10"/>
    <x v="206"/>
    <x v="42"/>
    <n v="1200"/>
    <x v="119"/>
    <x v="2"/>
  </r>
  <r>
    <x v="213"/>
    <x v="38"/>
    <s v="DAPAVEL 10MG"/>
    <x v="3"/>
    <n v="5"/>
    <x v="207"/>
    <x v="12"/>
    <n v="156"/>
    <x v="120"/>
    <x v="0"/>
  </r>
  <r>
    <x v="214"/>
    <x v="39"/>
    <s v="DAZIT TAB"/>
    <x v="0"/>
    <n v="10"/>
    <x v="208"/>
    <x v="50"/>
    <n v="608.04999999999995"/>
    <x v="121"/>
    <x v="2"/>
  </r>
  <r>
    <x v="215"/>
    <x v="39"/>
    <s v="DAZIT 10MG TAB"/>
    <x v="0"/>
    <n v="5"/>
    <x v="209"/>
    <x v="15"/>
    <n v="561.99"/>
    <x v="27"/>
    <x v="2"/>
  </r>
  <r>
    <x v="216"/>
    <x v="39"/>
    <s v="DART 5MG TAB"/>
    <x v="0"/>
    <n v="5"/>
    <x v="210"/>
    <x v="0"/>
    <n v="168"/>
    <x v="27"/>
    <x v="0"/>
  </r>
  <r>
    <x v="217"/>
    <x v="39"/>
    <s v="DEPAKOTE XR 500MG TAB 15'S"/>
    <x v="0"/>
    <n v="10"/>
    <x v="211"/>
    <x v="20"/>
    <n v="4941.18"/>
    <x v="122"/>
    <x v="2"/>
  </r>
  <r>
    <x v="218"/>
    <x v="39"/>
    <s v="DERMA CO 2% KOJIC ACID FACE SERUM"/>
    <x v="3"/>
    <n v="5"/>
    <x v="212"/>
    <x v="15"/>
    <n v="40.590000000000003"/>
    <x v="123"/>
    <x v="2"/>
  </r>
  <r>
    <x v="219"/>
    <x v="40"/>
    <s v="DERMA KOJIC ACID DAILY FACE WASH"/>
    <x v="3"/>
    <n v="2"/>
    <x v="213"/>
    <x v="6"/>
    <n v="249"/>
    <x v="124"/>
    <x v="1"/>
  </r>
  <r>
    <x v="220"/>
    <x v="40"/>
    <s v="DERMADEW SOAP 125GM"/>
    <x v="3"/>
    <n v="2"/>
    <x v="214"/>
    <x v="1"/>
    <n v="598"/>
    <x v="125"/>
    <x v="1"/>
  </r>
  <r>
    <x v="221"/>
    <x v="40"/>
    <s v="DERMADEW WRAP OF 125GM SOAP"/>
    <x v="3"/>
    <n v="2"/>
    <x v="215"/>
    <x v="6"/>
    <n v="220"/>
    <x v="126"/>
    <x v="1"/>
  </r>
  <r>
    <x v="222"/>
    <x v="41"/>
    <s v="DERMADEW ACNE FACE WASH"/>
    <x v="3"/>
    <n v="2"/>
    <x v="215"/>
    <x v="6"/>
    <n v="220"/>
    <x v="126"/>
    <x v="1"/>
  </r>
  <r>
    <x v="223"/>
    <x v="41"/>
    <s v="DERMADEW ALOE CREAM 150GM"/>
    <x v="3"/>
    <n v="2"/>
    <x v="216"/>
    <x v="6"/>
    <n v="338"/>
    <x v="126"/>
    <x v="1"/>
  </r>
  <r>
    <x v="224"/>
    <x v="41"/>
    <s v="DERMADEW ALOE PLUS CREAM"/>
    <x v="3"/>
    <n v="5"/>
    <x v="217"/>
    <x v="13"/>
    <n v="10032"/>
    <x v="126"/>
    <x v="2"/>
  </r>
  <r>
    <x v="225"/>
    <x v="41"/>
    <s v="DERMADEW FACE WASH"/>
    <x v="3"/>
    <n v="2"/>
    <x v="218"/>
    <x v="6"/>
    <n v="252"/>
    <x v="94"/>
    <x v="1"/>
  </r>
  <r>
    <x v="226"/>
    <x v="42"/>
    <s v="DERMIS CREAM"/>
    <x v="3"/>
    <n v="2"/>
    <x v="219"/>
    <x v="32"/>
    <n v="1680"/>
    <x v="126"/>
    <x v="0"/>
  </r>
  <r>
    <x v="227"/>
    <x v="42"/>
    <s v="DERMAMEW SOAP"/>
    <x v="3"/>
    <n v="2"/>
    <x v="220"/>
    <x v="1"/>
    <n v="378"/>
    <x v="94"/>
    <x v="1"/>
  </r>
  <r>
    <x v="228"/>
    <x v="42"/>
    <s v="DESRINE LOTION"/>
    <x v="3"/>
    <n v="2"/>
    <x v="221"/>
    <x v="6"/>
    <n v="54.45"/>
    <x v="127"/>
    <x v="1"/>
  </r>
  <r>
    <x v="229"/>
    <x v="42"/>
    <s v="DESKAST TAB 10'S"/>
    <x v="0"/>
    <n v="2"/>
    <x v="222"/>
    <x v="6"/>
    <n v="208.88"/>
    <x v="128"/>
    <x v="1"/>
  </r>
  <r>
    <x v="230"/>
    <x v="42"/>
    <s v="DESOWEN CREAM"/>
    <x v="3"/>
    <n v="5"/>
    <x v="223"/>
    <x v="12"/>
    <n v="283.10000000000002"/>
    <x v="129"/>
    <x v="0"/>
  </r>
  <r>
    <x v="231"/>
    <x v="43"/>
    <s v="DETTOL ANTISEPTIC LIQUID 125ML"/>
    <x v="3"/>
    <n v="2"/>
    <x v="224"/>
    <x v="6"/>
    <n v="260"/>
    <x v="83"/>
    <x v="1"/>
  </r>
  <r>
    <x v="232"/>
    <x v="43"/>
    <s v="DETTOL ANTISEPTIC LIQUID 250ML"/>
    <x v="3"/>
    <n v="5"/>
    <x v="225"/>
    <x v="51"/>
    <n v="3019.4"/>
    <x v="130"/>
    <x v="2"/>
  </r>
  <r>
    <x v="233"/>
    <x v="43"/>
    <s v="DETTOL ANTISEPTIC LIQUID 550ML"/>
    <x v="3"/>
    <n v="2"/>
    <x v="226"/>
    <x v="27"/>
    <n v="653.96"/>
    <x v="130"/>
    <x v="0"/>
  </r>
  <r>
    <x v="234"/>
    <x v="44"/>
    <s v="DETTOL COOL SOAP 150GM"/>
    <x v="3"/>
    <n v="5"/>
    <x v="227"/>
    <x v="52"/>
    <n v="926.77"/>
    <x v="130"/>
    <x v="2"/>
  </r>
  <r>
    <x v="235"/>
    <x v="44"/>
    <s v="DETTOL ORIGINAL HAND SANITIZER"/>
    <x v="3"/>
    <n v="2"/>
    <x v="228"/>
    <x v="6"/>
    <n v="267.08999999999997"/>
    <x v="130"/>
    <x v="1"/>
  </r>
  <r>
    <x v="236"/>
    <x v="44"/>
    <s v="DETTOL ORIGINAL HAND WASH PUMP 200ML"/>
    <x v="3"/>
    <n v="2"/>
    <x v="229"/>
    <x v="21"/>
    <n v="800"/>
    <x v="131"/>
    <x v="0"/>
  </r>
  <r>
    <x v="237"/>
    <x v="44"/>
    <s v="DETTOL ORIGINAL SOAP 75GM"/>
    <x v="3"/>
    <n v="2"/>
    <x v="230"/>
    <x v="1"/>
    <n v="60"/>
    <x v="130"/>
    <x v="1"/>
  </r>
  <r>
    <x v="238"/>
    <x v="45"/>
    <s v="DETTOL ORIGINAL SOAP 125GM"/>
    <x v="3"/>
    <n v="2"/>
    <x v="231"/>
    <x v="27"/>
    <n v="396"/>
    <x v="130"/>
    <x v="0"/>
  </r>
  <r>
    <x v="239"/>
    <x v="45"/>
    <s v="DETTOL SKIN CARE SOAP 125GM"/>
    <x v="3"/>
    <n v="2"/>
    <x v="232"/>
    <x v="32"/>
    <n v="600"/>
    <x v="130"/>
    <x v="0"/>
  </r>
  <r>
    <x v="240"/>
    <x v="45"/>
    <s v="DEXIGLU 10MG TAB"/>
    <x v="0"/>
    <n v="2"/>
    <x v="233"/>
    <x v="6"/>
    <n v="50"/>
    <x v="130"/>
    <x v="1"/>
  </r>
  <r>
    <x v="241"/>
    <x v="45"/>
    <s v="DEXODERM NF"/>
    <x v="3"/>
    <n v="2"/>
    <x v="234"/>
    <x v="14"/>
    <n v="234"/>
    <x v="130"/>
    <x v="0"/>
  </r>
  <r>
    <x v="242"/>
    <x v="45"/>
    <s v="DEXONA INJ 2ML"/>
    <x v="4"/>
    <n v="10"/>
    <x v="235"/>
    <x v="38"/>
    <n v="1600"/>
    <x v="132"/>
    <x v="2"/>
  </r>
  <r>
    <x v="243"/>
    <x v="46"/>
    <s v="DFO 4X GEL 50GM"/>
    <x v="3"/>
    <n v="2"/>
    <x v="236"/>
    <x v="14"/>
    <n v="296.7"/>
    <x v="133"/>
    <x v="0"/>
  </r>
  <r>
    <x v="244"/>
    <x v="46"/>
    <s v="DFO SPRAY 75ML"/>
    <x v="3"/>
    <n v="5"/>
    <x v="237"/>
    <x v="36"/>
    <n v="148.19999999999999"/>
    <x v="134"/>
    <x v="0"/>
  </r>
  <r>
    <x v="245"/>
    <x v="46"/>
    <s v="DIAMICRON XR MEX 60/500MG TAB"/>
    <x v="0"/>
    <n v="5"/>
    <x v="238"/>
    <x v="53"/>
    <n v="6033.78"/>
    <x v="135"/>
    <x v="2"/>
  </r>
  <r>
    <x v="246"/>
    <x v="47"/>
    <s v="DICLOLAB INJ 3ML"/>
    <x v="4"/>
    <n v="2"/>
    <x v="239"/>
    <x v="32"/>
    <n v="1390.3"/>
    <x v="136"/>
    <x v="0"/>
  </r>
  <r>
    <x v="247"/>
    <x v="47"/>
    <s v="DIGENE MINT TAB"/>
    <x v="0"/>
    <n v="10"/>
    <x v="240"/>
    <x v="20"/>
    <n v="4084.92"/>
    <x v="109"/>
    <x v="2"/>
  </r>
  <r>
    <x v="248"/>
    <x v="47"/>
    <s v="DIGITAL THERMOMETER FLEXIBLE (MICROGENE)"/>
    <x v="3"/>
    <n v="2"/>
    <x v="241"/>
    <x v="1"/>
    <n v="11.3"/>
    <x v="82"/>
    <x v="1"/>
  </r>
  <r>
    <x v="249"/>
    <x v="47"/>
    <s v="DIPROBATE G PLUS 30GM CREAM"/>
    <x v="3"/>
    <n v="7"/>
    <x v="242"/>
    <x v="54"/>
    <n v="97.35"/>
    <x v="137"/>
    <x v="2"/>
  </r>
  <r>
    <x v="250"/>
    <x v="48"/>
    <s v="DISPOVAN NEEDLE 16G"/>
    <x v="3"/>
    <n v="2"/>
    <x v="243"/>
    <x v="6"/>
    <n v="349"/>
    <x v="138"/>
    <x v="1"/>
  </r>
  <r>
    <x v="251"/>
    <x v="48"/>
    <s v="DISPOVAN NEEDLE 18G"/>
    <x v="3"/>
    <n v="2"/>
    <x v="244"/>
    <x v="1"/>
    <n v="230"/>
    <x v="139"/>
    <x v="1"/>
  </r>
  <r>
    <x v="252"/>
    <x v="48"/>
    <s v="DISPOVAN SYRINGE 2.5ML"/>
    <x v="3"/>
    <n v="2"/>
    <x v="245"/>
    <x v="4"/>
    <n v="20"/>
    <x v="140"/>
    <x v="0"/>
  </r>
  <r>
    <x v="253"/>
    <x v="48"/>
    <s v="DISPOVAN SYRINGE 20ML"/>
    <x v="3"/>
    <n v="2"/>
    <x v="246"/>
    <x v="14"/>
    <n v="7.2"/>
    <x v="140"/>
    <x v="0"/>
  </r>
  <r>
    <x v="254"/>
    <x v="48"/>
    <s v="DISPOVAN SYRINGE 3ML"/>
    <x v="3"/>
    <n v="7"/>
    <x v="247"/>
    <x v="55"/>
    <n v="460.6"/>
    <x v="140"/>
    <x v="2"/>
  </r>
  <r>
    <x v="255"/>
    <x v="49"/>
    <s v="DISPOVAN SYRINGE 50ML"/>
    <x v="3"/>
    <n v="2"/>
    <x v="248"/>
    <x v="4"/>
    <n v="105"/>
    <x v="140"/>
    <x v="0"/>
  </r>
  <r>
    <x v="256"/>
    <x v="49"/>
    <s v="DIVON PLUS TAB"/>
    <x v="0"/>
    <n v="2"/>
    <x v="249"/>
    <x v="4"/>
    <n v="44"/>
    <x v="140"/>
    <x v="0"/>
  </r>
  <r>
    <x v="257"/>
    <x v="49"/>
    <s v="DOLO 500MG TAB"/>
    <x v="0"/>
    <n v="2"/>
    <x v="250"/>
    <x v="6"/>
    <n v="61"/>
    <x v="140"/>
    <x v="1"/>
  </r>
  <r>
    <x v="258"/>
    <x v="50"/>
    <s v="DOLO 650MG TAB"/>
    <x v="0"/>
    <n v="10"/>
    <x v="251"/>
    <x v="56"/>
    <n v="1607.32"/>
    <x v="141"/>
    <x v="2"/>
  </r>
  <r>
    <x v="259"/>
    <x v="50"/>
    <s v="DOLO COLD TAB"/>
    <x v="0"/>
    <n v="5"/>
    <x v="252"/>
    <x v="12"/>
    <n v="41.5"/>
    <x v="141"/>
    <x v="0"/>
  </r>
  <r>
    <x v="260"/>
    <x v="50"/>
    <s v="DOLOGEL CT GEL"/>
    <x v="3"/>
    <n v="5"/>
    <x v="253"/>
    <x v="25"/>
    <n v="1369.38"/>
    <x v="97"/>
    <x v="0"/>
  </r>
  <r>
    <x v="261"/>
    <x v="50"/>
    <s v="DOLOGEL DROPS"/>
    <x v="3"/>
    <n v="2"/>
    <x v="254"/>
    <x v="6"/>
    <n v="119.75"/>
    <x v="142"/>
    <x v="1"/>
  </r>
  <r>
    <x v="262"/>
    <x v="51"/>
    <s v="DOLOPAR 650MG TAB 15'S"/>
    <x v="0"/>
    <n v="5"/>
    <x v="192"/>
    <x v="11"/>
    <n v="45.02"/>
    <x v="143"/>
    <x v="0"/>
  </r>
  <r>
    <x v="263"/>
    <x v="51"/>
    <s v="DOLOPAR TAB"/>
    <x v="0"/>
    <n v="5"/>
    <x v="255"/>
    <x v="0"/>
    <n v="63"/>
    <x v="143"/>
    <x v="0"/>
  </r>
  <r>
    <x v="264"/>
    <x v="51"/>
    <s v="DOLOWIN PLUS TAB"/>
    <x v="0"/>
    <n v="5"/>
    <x v="256"/>
    <x v="12"/>
    <n v="89"/>
    <x v="141"/>
    <x v="0"/>
  </r>
  <r>
    <x v="265"/>
    <x v="51"/>
    <s v="DOLOWIN SP TAB"/>
    <x v="0"/>
    <n v="5"/>
    <x v="257"/>
    <x v="0"/>
    <n v="243"/>
    <x v="141"/>
    <x v="0"/>
  </r>
  <r>
    <x v="266"/>
    <x v="51"/>
    <s v="DOTHIP 50MG TAB"/>
    <x v="0"/>
    <n v="10"/>
    <x v="258"/>
    <x v="57"/>
    <n v="2232"/>
    <x v="144"/>
    <x v="2"/>
  </r>
  <r>
    <x v="267"/>
    <x v="52"/>
    <s v="DOVE DAILY SHINE CONDITIONER 175ML"/>
    <x v="3"/>
    <n v="2"/>
    <x v="259"/>
    <x v="6"/>
    <n v="285"/>
    <x v="95"/>
    <x v="1"/>
  </r>
  <r>
    <x v="268"/>
    <x v="52"/>
    <s v="DOVE FRESH MOIST SOAP 75GM"/>
    <x v="3"/>
    <n v="5"/>
    <x v="260"/>
    <x v="12"/>
    <n v="750"/>
    <x v="95"/>
    <x v="0"/>
  </r>
  <r>
    <x v="269"/>
    <x v="52"/>
    <s v="DOVE HAIR FALL RESCUE SHAMPOO 340ML"/>
    <x v="3"/>
    <n v="5"/>
    <x v="261"/>
    <x v="5"/>
    <n v="11490"/>
    <x v="145"/>
    <x v="2"/>
  </r>
  <r>
    <x v="270"/>
    <x v="53"/>
    <s v="DOVE HAIR THERAPY DAILY SHINE SHAMPOO 180ML"/>
    <x v="3"/>
    <n v="2"/>
    <x v="262"/>
    <x v="6"/>
    <n v="224"/>
    <x v="95"/>
    <x v="1"/>
  </r>
  <r>
    <x v="271"/>
    <x v="53"/>
    <s v="DOVE HAIR THERAPY HAIR FALL RESCUE SHAMPOO"/>
    <x v="3"/>
    <n v="2"/>
    <x v="262"/>
    <x v="14"/>
    <n v="672"/>
    <x v="145"/>
    <x v="0"/>
  </r>
  <r>
    <x v="272"/>
    <x v="53"/>
    <s v="DOVE SHAMPOO 200ML"/>
    <x v="3"/>
    <n v="2"/>
    <x v="263"/>
    <x v="1"/>
    <n v="492"/>
    <x v="95"/>
    <x v="1"/>
  </r>
  <r>
    <x v="273"/>
    <x v="53"/>
    <s v="DOVE SHAMPOO 400ML"/>
    <x v="3"/>
    <n v="2"/>
    <x v="264"/>
    <x v="6"/>
    <n v="355"/>
    <x v="95"/>
    <x v="1"/>
  </r>
  <r>
    <x v="274"/>
    <x v="54"/>
    <s v="DOVE SOAP 100GM"/>
    <x v="3"/>
    <n v="2"/>
    <x v="265"/>
    <x v="27"/>
    <n v="264"/>
    <x v="95"/>
    <x v="0"/>
  </r>
  <r>
    <x v="275"/>
    <x v="54"/>
    <s v="DOXY 1 L DR FORTE CAP"/>
    <x v="3"/>
    <n v="10"/>
    <x v="266"/>
    <x v="38"/>
    <n v="1150"/>
    <x v="146"/>
    <x v="2"/>
  </r>
  <r>
    <x v="276"/>
    <x v="54"/>
    <s v="DOXY L CAP"/>
    <x v="3"/>
    <n v="7"/>
    <x v="267"/>
    <x v="46"/>
    <n v="640"/>
    <x v="147"/>
    <x v="2"/>
  </r>
  <r>
    <x v="277"/>
    <x v="54"/>
    <s v="DR RASHEEL VITAMIN C FACE SERUM"/>
    <x v="3"/>
    <n v="2"/>
    <x v="268"/>
    <x v="6"/>
    <n v="399"/>
    <x v="148"/>
    <x v="1"/>
  </r>
  <r>
    <x v="278"/>
    <x v="54"/>
    <s v="DR SCHOLLS CALLOUS REM PAD"/>
    <x v="3"/>
    <n v="2"/>
    <x v="269"/>
    <x v="6"/>
    <n v="2099"/>
    <x v="149"/>
    <x v="1"/>
  </r>
  <r>
    <x v="279"/>
    <x v="55"/>
    <s v="DUOLIN 3 RESPULES"/>
    <x v="3"/>
    <n v="5"/>
    <x v="270"/>
    <x v="49"/>
    <n v="1761.93"/>
    <x v="14"/>
    <x v="2"/>
  </r>
  <r>
    <x v="280"/>
    <x v="55"/>
    <s v="DUOLIN 3 RESPULES 3ML"/>
    <x v="3"/>
    <n v="5"/>
    <x v="271"/>
    <x v="15"/>
    <n v="822.9"/>
    <x v="14"/>
    <x v="2"/>
  </r>
  <r>
    <x v="281"/>
    <x v="55"/>
    <s v="DYNAGLIPT TAB"/>
    <x v="0"/>
    <n v="7"/>
    <x v="272"/>
    <x v="17"/>
    <n v="537.08000000000004"/>
    <x v="81"/>
    <x v="2"/>
  </r>
  <r>
    <x v="282"/>
    <x v="56"/>
    <s v="DYNAPAR AQ INJ AMP (DICLOTROY AQ INJ)"/>
    <x v="4"/>
    <n v="5"/>
    <x v="273"/>
    <x v="58"/>
    <n v="861.78"/>
    <x v="150"/>
    <x v="2"/>
  </r>
  <r>
    <x v="283"/>
    <x v="56"/>
    <s v="DYTOR 10MG TAB"/>
    <x v="0"/>
    <n v="5"/>
    <x v="274"/>
    <x v="15"/>
    <n v="205.44"/>
    <x v="39"/>
    <x v="2"/>
  </r>
  <r>
    <x v="284"/>
    <x v="56"/>
    <s v="DYTOR PLUS 10MG TAB"/>
    <x v="0"/>
    <n v="5"/>
    <x v="275"/>
    <x v="0"/>
    <n v="118.85"/>
    <x v="39"/>
    <x v="0"/>
  </r>
  <r>
    <x v="285"/>
    <x v="56"/>
    <s v="DYTOR PLUS LS TAB"/>
    <x v="0"/>
    <n v="10"/>
    <x v="276"/>
    <x v="3"/>
    <n v="752.33"/>
    <x v="39"/>
    <x v="2"/>
  </r>
  <r>
    <x v="286"/>
    <x v="57"/>
    <s v="EASIBREATHE CAP"/>
    <x v="3"/>
    <n v="5"/>
    <x v="277"/>
    <x v="0"/>
    <n v="115.09"/>
    <x v="75"/>
    <x v="0"/>
  </r>
  <r>
    <x v="287"/>
    <x v="57"/>
    <s v="EBEEZOL M CREAM"/>
    <x v="3"/>
    <n v="2"/>
    <x v="278"/>
    <x v="6"/>
    <n v="178.13"/>
    <x v="151"/>
    <x v="1"/>
  </r>
  <r>
    <x v="288"/>
    <x v="57"/>
    <s v="EBERNET M CREAM 15GM"/>
    <x v="3"/>
    <n v="2"/>
    <x v="279"/>
    <x v="27"/>
    <n v="1646.86"/>
    <x v="152"/>
    <x v="0"/>
  </r>
  <r>
    <x v="289"/>
    <x v="57"/>
    <s v="EBERNET+ CREAM 30GMS"/>
    <x v="3"/>
    <n v="5"/>
    <x v="280"/>
    <x v="34"/>
    <n v="8953.5"/>
    <x v="152"/>
    <x v="0"/>
  </r>
  <r>
    <x v="290"/>
    <x v="57"/>
    <s v="ECOSPRIN 75MG TAB"/>
    <x v="0"/>
    <n v="5"/>
    <x v="281"/>
    <x v="7"/>
    <n v="5.49"/>
    <x v="153"/>
    <x v="0"/>
  </r>
  <r>
    <x v="291"/>
    <x v="58"/>
    <s v="ECOSPRIN AV 150/20MG CAP 10'S"/>
    <x v="3"/>
    <n v="5"/>
    <x v="282"/>
    <x v="12"/>
    <n v="52.25"/>
    <x v="14"/>
    <x v="0"/>
  </r>
  <r>
    <x v="292"/>
    <x v="58"/>
    <s v="ECOSPRIN AV 75/20MG CAP"/>
    <x v="3"/>
    <n v="5"/>
    <x v="283"/>
    <x v="0"/>
    <n v="100.2"/>
    <x v="153"/>
    <x v="0"/>
  </r>
  <r>
    <x v="293"/>
    <x v="58"/>
    <s v="ECOSPRIN GOLD 40MG CAP"/>
    <x v="3"/>
    <n v="7"/>
    <x v="284"/>
    <x v="17"/>
    <n v="1001.58"/>
    <x v="29"/>
    <x v="2"/>
  </r>
  <r>
    <x v="294"/>
    <x v="59"/>
    <s v="ECOSPRIN GOLD 20MG CAP"/>
    <x v="3"/>
    <n v="5"/>
    <x v="285"/>
    <x v="15"/>
    <n v="372"/>
    <x v="29"/>
    <x v="2"/>
  </r>
  <r>
    <x v="295"/>
    <x v="59"/>
    <s v="ELASTIC ADHESIVE BAND AID"/>
    <x v="3"/>
    <n v="2"/>
    <x v="286"/>
    <x v="6"/>
    <n v="1620"/>
    <x v="51"/>
    <x v="1"/>
  </r>
  <r>
    <x v="296"/>
    <x v="59"/>
    <s v="ELDOPER CAP"/>
    <x v="3"/>
    <n v="7"/>
    <x v="287"/>
    <x v="46"/>
    <n v="339.6"/>
    <x v="47"/>
    <x v="2"/>
  </r>
  <r>
    <x v="297"/>
    <x v="59"/>
    <s v="ELECTRAL POWDER 21.80GM"/>
    <x v="3"/>
    <n v="5"/>
    <x v="288"/>
    <x v="15"/>
    <n v="684.87"/>
    <x v="154"/>
    <x v="2"/>
  </r>
  <r>
    <x v="298"/>
    <x v="60"/>
    <s v="ELTOFER CAP"/>
    <x v="3"/>
    <n v="5"/>
    <x v="289"/>
    <x v="12"/>
    <n v="42.3"/>
    <x v="155"/>
    <x v="0"/>
  </r>
  <r>
    <x v="299"/>
    <x v="60"/>
    <s v="EM CAINE SYP"/>
    <x v="1"/>
    <n v="2"/>
    <x v="290"/>
    <x v="6"/>
    <n v="131"/>
    <x v="156"/>
    <x v="1"/>
  </r>
  <r>
    <x v="300"/>
    <x v="60"/>
    <s v="EMESET 4MG TAB"/>
    <x v="0"/>
    <n v="2"/>
    <x v="291"/>
    <x v="4"/>
    <n v="28.78"/>
    <x v="157"/>
    <x v="0"/>
  </r>
  <r>
    <x v="301"/>
    <x v="60"/>
    <s v="EMLUZ CREAM"/>
    <x v="3"/>
    <n v="2"/>
    <x v="292"/>
    <x v="6"/>
    <n v="290.25"/>
    <x v="158"/>
    <x v="1"/>
  </r>
  <r>
    <x v="302"/>
    <x v="60"/>
    <s v="ENO FRUIT LEMON SALT SACH 5GM"/>
    <x v="3"/>
    <n v="7"/>
    <x v="293"/>
    <x v="37"/>
    <n v="806"/>
    <x v="112"/>
    <x v="2"/>
  </r>
  <r>
    <x v="303"/>
    <x v="61"/>
    <s v="ENO LEMON SACHET 60'S"/>
    <x v="3"/>
    <n v="5"/>
    <x v="294"/>
    <x v="12"/>
    <n v="100"/>
    <x v="159"/>
    <x v="0"/>
  </r>
  <r>
    <x v="304"/>
    <x v="61"/>
    <s v="ENSURE PLUS VANILLA POWDER 400GM"/>
    <x v="3"/>
    <n v="2"/>
    <x v="295"/>
    <x v="1"/>
    <n v="1744.06"/>
    <x v="160"/>
    <x v="1"/>
  </r>
  <r>
    <x v="305"/>
    <x v="61"/>
    <s v="ENTRAK EYE OINTMENT"/>
    <x v="3"/>
    <n v="2"/>
    <x v="296"/>
    <x v="6"/>
    <n v="379.69"/>
    <x v="161"/>
    <x v="1"/>
  </r>
  <r>
    <x v="306"/>
    <x v="62"/>
    <s v="ENZOFLAM TAB"/>
    <x v="0"/>
    <n v="5"/>
    <x v="297"/>
    <x v="12"/>
    <n v="172"/>
    <x v="162"/>
    <x v="0"/>
  </r>
  <r>
    <x v="307"/>
    <x v="62"/>
    <s v="EPAN DSR CAPS"/>
    <x v="3"/>
    <n v="2"/>
    <x v="298"/>
    <x v="32"/>
    <n v="66"/>
    <x v="163"/>
    <x v="0"/>
  </r>
  <r>
    <x v="308"/>
    <x v="62"/>
    <s v="EPTOIN 100MG TAB 120'S"/>
    <x v="0"/>
    <n v="10"/>
    <x v="299"/>
    <x v="57"/>
    <n v="477.12"/>
    <x v="164"/>
    <x v="2"/>
  </r>
  <r>
    <x v="309"/>
    <x v="62"/>
    <s v="ERITEL CH 40MG TAB"/>
    <x v="0"/>
    <n v="5"/>
    <x v="300"/>
    <x v="0"/>
    <n v="279.26"/>
    <x v="165"/>
    <x v="0"/>
  </r>
  <r>
    <x v="310"/>
    <x v="63"/>
    <s v="FRESH EYE DROPS"/>
    <x v="3"/>
    <n v="2"/>
    <x v="301"/>
    <x v="4"/>
    <n v="600"/>
    <x v="166"/>
    <x v="0"/>
  </r>
  <r>
    <x v="311"/>
    <x v="63"/>
    <s v="FRISIUM 10MG TAB 15'S"/>
    <x v="0"/>
    <n v="10"/>
    <x v="302"/>
    <x v="20"/>
    <n v="1983.78"/>
    <x v="167"/>
    <x v="2"/>
  </r>
  <r>
    <x v="312"/>
    <x v="63"/>
    <s v="FUDIC CREAM 10GM"/>
    <x v="3"/>
    <n v="2"/>
    <x v="303"/>
    <x v="6"/>
    <n v="110.1"/>
    <x v="94"/>
    <x v="1"/>
  </r>
  <r>
    <x v="313"/>
    <x v="63"/>
    <s v="GALVUSMET 50/500MG TAB"/>
    <x v="0"/>
    <n v="10"/>
    <x v="304"/>
    <x v="59"/>
    <n v="6501.06"/>
    <x v="168"/>
    <x v="2"/>
  </r>
  <r>
    <x v="314"/>
    <x v="63"/>
    <s v="GARDENAL 60MG TAB 100'S"/>
    <x v="0"/>
    <n v="10"/>
    <x v="305"/>
    <x v="29"/>
    <n v="423.4"/>
    <x v="169"/>
    <x v="2"/>
  </r>
  <r>
    <x v="315"/>
    <x v="64"/>
    <s v="GARNIER BRIGHT COMPLETE FACE WASH 100ML"/>
    <x v="3"/>
    <n v="2"/>
    <x v="306"/>
    <x v="6"/>
    <n v="219"/>
    <x v="170"/>
    <x v="1"/>
  </r>
  <r>
    <x v="316"/>
    <x v="64"/>
    <s v="GARNIER MEN ACNO FIGHT FACE WASH 100GM"/>
    <x v="3"/>
    <n v="2"/>
    <x v="307"/>
    <x v="1"/>
    <n v="558"/>
    <x v="170"/>
    <x v="1"/>
  </r>
  <r>
    <x v="317"/>
    <x v="64"/>
    <s v="GARNIER MEN OIL CLEAR FACE WASH 100ML"/>
    <x v="3"/>
    <n v="2"/>
    <x v="308"/>
    <x v="6"/>
    <n v="249"/>
    <x v="170"/>
    <x v="1"/>
  </r>
  <r>
    <x v="318"/>
    <x v="65"/>
    <s v="GARNIER MEN TURBO BRIGHT FACE WASH 100GM"/>
    <x v="3"/>
    <n v="2"/>
    <x v="309"/>
    <x v="6"/>
    <n v="299"/>
    <x v="170"/>
    <x v="1"/>
  </r>
  <r>
    <x v="319"/>
    <x v="65"/>
    <s v="GARNIER VITAMIN C SERUM"/>
    <x v="3"/>
    <n v="2"/>
    <x v="310"/>
    <x v="27"/>
    <n v="2476"/>
    <x v="170"/>
    <x v="0"/>
  </r>
  <r>
    <x v="320"/>
    <x v="65"/>
    <s v="GELUSIL MPS CHEWABLE TAB 15TAB"/>
    <x v="0"/>
    <n v="5"/>
    <x v="311"/>
    <x v="22"/>
    <n v="79.16"/>
    <x v="171"/>
    <x v="2"/>
  </r>
  <r>
    <x v="321"/>
    <x v="65"/>
    <s v="GEMER 2MG TAB 15'S"/>
    <x v="0"/>
    <n v="5"/>
    <x v="312"/>
    <x v="0"/>
    <n v="231"/>
    <x v="172"/>
    <x v="0"/>
  </r>
  <r>
    <x v="322"/>
    <x v="66"/>
    <s v="GENTALENE PLUS CREAM 20GM"/>
    <x v="3"/>
    <n v="5"/>
    <x v="313"/>
    <x v="2"/>
    <n v="3879.21"/>
    <x v="4"/>
    <x v="2"/>
  </r>
  <r>
    <x v="323"/>
    <x v="66"/>
    <s v="GILLETTE PRESTO READY SHAVAR"/>
    <x v="3"/>
    <n v="2"/>
    <x v="314"/>
    <x v="60"/>
    <n v="225"/>
    <x v="173"/>
    <x v="0"/>
  </r>
  <r>
    <x v="324"/>
    <x v="66"/>
    <s v="GLASSVAN SURGICAL BLADE NO 11"/>
    <x v="3"/>
    <n v="2"/>
    <x v="315"/>
    <x v="6"/>
    <n v="5"/>
    <x v="174"/>
    <x v="1"/>
  </r>
  <r>
    <x v="325"/>
    <x v="66"/>
    <s v="GLIMDA MV 2MG TAB"/>
    <x v="0"/>
    <n v="10"/>
    <x v="316"/>
    <x v="20"/>
    <n v="3484.8"/>
    <x v="89"/>
    <x v="2"/>
  </r>
  <r>
    <x v="326"/>
    <x v="66"/>
    <s v="GLIMWAR MP2"/>
    <x v="3"/>
    <n v="5"/>
    <x v="317"/>
    <x v="15"/>
    <n v="294"/>
    <x v="175"/>
    <x v="2"/>
  </r>
  <r>
    <x v="327"/>
    <x v="67"/>
    <s v="GLOCIN GEL"/>
    <x v="3"/>
    <n v="2"/>
    <x v="318"/>
    <x v="6"/>
    <n v="197"/>
    <x v="176"/>
    <x v="1"/>
  </r>
  <r>
    <x v="328"/>
    <x v="67"/>
    <s v="GLUCOMIN C ORANGE POWDER"/>
    <x v="3"/>
    <n v="2"/>
    <x v="319"/>
    <x v="6"/>
    <n v="120"/>
    <x v="177"/>
    <x v="1"/>
  </r>
  <r>
    <x v="329"/>
    <x v="67"/>
    <s v="GLUCOMIN C POWDER 500GM"/>
    <x v="3"/>
    <n v="2"/>
    <x v="320"/>
    <x v="6"/>
    <n v="230"/>
    <x v="178"/>
    <x v="1"/>
  </r>
  <r>
    <x v="330"/>
    <x v="68"/>
    <s v="GLUCOMIN D POWDER 125GM"/>
    <x v="3"/>
    <n v="5"/>
    <x v="321"/>
    <x v="0"/>
    <n v="575"/>
    <x v="178"/>
    <x v="0"/>
  </r>
  <r>
    <x v="331"/>
    <x v="68"/>
    <s v="GLUCOMIN D POWDER 250GM"/>
    <x v="3"/>
    <n v="2"/>
    <x v="322"/>
    <x v="27"/>
    <n v="360"/>
    <x v="177"/>
    <x v="0"/>
  </r>
  <r>
    <x v="332"/>
    <x v="68"/>
    <s v="GLUCOMIN D POWDER 500GM"/>
    <x v="3"/>
    <n v="2"/>
    <x v="323"/>
    <x v="14"/>
    <n v="450"/>
    <x v="178"/>
    <x v="0"/>
  </r>
  <r>
    <x v="333"/>
    <x v="68"/>
    <s v="GLUCON D ORANGE POWDER 500GM"/>
    <x v="3"/>
    <n v="2"/>
    <x v="324"/>
    <x v="32"/>
    <n v="1290"/>
    <x v="179"/>
    <x v="0"/>
  </r>
  <r>
    <x v="334"/>
    <x v="69"/>
    <s v="GLUCON D POWDER 1KG JAR"/>
    <x v="3"/>
    <n v="2"/>
    <x v="325"/>
    <x v="6"/>
    <n v="280"/>
    <x v="179"/>
    <x v="1"/>
  </r>
  <r>
    <x v="335"/>
    <x v="69"/>
    <s v="GLUCON D POWDER 500GM JAR"/>
    <x v="3"/>
    <n v="2"/>
    <x v="326"/>
    <x v="14"/>
    <n v="465"/>
    <x v="179"/>
    <x v="0"/>
  </r>
  <r>
    <x v="336"/>
    <x v="69"/>
    <s v="GLUCONORM PG FORTE 2MG TAB"/>
    <x v="0"/>
    <n v="10"/>
    <x v="327"/>
    <x v="42"/>
    <n v="2547.6"/>
    <x v="180"/>
    <x v="2"/>
  </r>
  <r>
    <x v="337"/>
    <x v="69"/>
    <s v="GLUCONORM Z 80 TAB"/>
    <x v="0"/>
    <n v="10"/>
    <x v="328"/>
    <x v="61"/>
    <n v="1534.02"/>
    <x v="181"/>
    <x v="2"/>
  </r>
  <r>
    <x v="338"/>
    <x v="69"/>
    <s v="GLUCORED FORTE TAB"/>
    <x v="0"/>
    <n v="5"/>
    <x v="329"/>
    <x v="16"/>
    <n v="266"/>
    <x v="182"/>
    <x v="2"/>
  </r>
  <r>
    <x v="339"/>
    <x v="70"/>
    <s v="GLYCINORM TOTAL 60MG TAB"/>
    <x v="0"/>
    <n v="5"/>
    <x v="330"/>
    <x v="15"/>
    <n v="518.1"/>
    <x v="76"/>
    <x v="2"/>
  </r>
  <r>
    <x v="340"/>
    <x v="70"/>
    <s v="GLYCO 6% CREAM"/>
    <x v="3"/>
    <n v="2"/>
    <x v="331"/>
    <x v="6"/>
    <n v="225.94"/>
    <x v="78"/>
    <x v="1"/>
  </r>
  <r>
    <x v="341"/>
    <x v="70"/>
    <s v="GLYCOMET 500MG TAB"/>
    <x v="0"/>
    <n v="10"/>
    <x v="332"/>
    <x v="62"/>
    <n v="610.67999999999995"/>
    <x v="153"/>
    <x v="2"/>
  </r>
  <r>
    <x v="342"/>
    <x v="71"/>
    <s v="GLYCOMET GP 1MG TAB"/>
    <x v="0"/>
    <n v="10"/>
    <x v="333"/>
    <x v="3"/>
    <n v="1437.52"/>
    <x v="117"/>
    <x v="2"/>
  </r>
  <r>
    <x v="343"/>
    <x v="71"/>
    <s v="GLYCOMET GP 2/850MG TAB"/>
    <x v="0"/>
    <n v="7"/>
    <x v="334"/>
    <x v="17"/>
    <n v="652.79999999999995"/>
    <x v="117"/>
    <x v="2"/>
  </r>
  <r>
    <x v="344"/>
    <x v="71"/>
    <s v="GLYCOMET GP 2MG TAB"/>
    <x v="0"/>
    <n v="10"/>
    <x v="335"/>
    <x v="57"/>
    <n v="3055.92"/>
    <x v="117"/>
    <x v="2"/>
  </r>
  <r>
    <x v="345"/>
    <x v="71"/>
    <s v="GLYCOMET TRIO 2MG TAB"/>
    <x v="0"/>
    <n v="5"/>
    <x v="336"/>
    <x v="11"/>
    <n v="451.2"/>
    <x v="183"/>
    <x v="0"/>
  </r>
  <r>
    <x v="346"/>
    <x v="72"/>
    <s v="GLYCOMET TRIO FORTE 1MG TAB 10'S"/>
    <x v="0"/>
    <n v="5"/>
    <x v="337"/>
    <x v="15"/>
    <n v="479.1"/>
    <x v="183"/>
    <x v="2"/>
  </r>
  <r>
    <x v="347"/>
    <x v="72"/>
    <s v="GLYCOZIDE M FORTE TAB"/>
    <x v="0"/>
    <n v="10"/>
    <x v="338"/>
    <x v="62"/>
    <n v="3102.36"/>
    <x v="184"/>
    <x v="2"/>
  </r>
  <r>
    <x v="348"/>
    <x v="72"/>
    <s v="GLYNAMIC MP2"/>
    <x v="3"/>
    <n v="10"/>
    <x v="339"/>
    <x v="38"/>
    <n v="1500"/>
    <x v="185"/>
    <x v="2"/>
  </r>
  <r>
    <x v="349"/>
    <x v="72"/>
    <s v="GLYNASE MF TAB"/>
    <x v="0"/>
    <n v="7"/>
    <x v="340"/>
    <x v="63"/>
    <n v="183.15"/>
    <x v="153"/>
    <x v="2"/>
  </r>
  <r>
    <x v="350"/>
    <x v="72"/>
    <s v="GOOD KNIGHT FABRIC ROLL ON"/>
    <x v="3"/>
    <n v="2"/>
    <x v="341"/>
    <x v="6"/>
    <n v="85"/>
    <x v="186"/>
    <x v="1"/>
  </r>
  <r>
    <x v="351"/>
    <x v="73"/>
    <s v="GRILINCTUS BM SYP"/>
    <x v="1"/>
    <n v="2"/>
    <x v="342"/>
    <x v="6"/>
    <n v="128"/>
    <x v="187"/>
    <x v="1"/>
  </r>
  <r>
    <x v="352"/>
    <x v="73"/>
    <s v="GRILINCTUS L SYP 100ML"/>
    <x v="1"/>
    <n v="2"/>
    <x v="343"/>
    <x v="32"/>
    <n v="914.52"/>
    <x v="187"/>
    <x v="0"/>
  </r>
  <r>
    <x v="353"/>
    <x v="73"/>
    <s v="GRILINCTUS LS SYP 100ML"/>
    <x v="1"/>
    <n v="5"/>
    <x v="344"/>
    <x v="7"/>
    <n v="1863.99"/>
    <x v="187"/>
    <x v="0"/>
  </r>
  <r>
    <x v="354"/>
    <x v="74"/>
    <s v="GRILINCTUS SYP 100ML"/>
    <x v="1"/>
    <n v="5"/>
    <x v="345"/>
    <x v="0"/>
    <n v="2129.25"/>
    <x v="187"/>
    <x v="0"/>
  </r>
  <r>
    <x v="355"/>
    <x v="74"/>
    <s v="GUBB BODY SCRUBBER"/>
    <x v="3"/>
    <n v="2"/>
    <x v="346"/>
    <x v="1"/>
    <n v="160"/>
    <x v="148"/>
    <x v="1"/>
  </r>
  <r>
    <x v="356"/>
    <x v="74"/>
    <s v="GUDCEF 200MG TAB"/>
    <x v="0"/>
    <n v="5"/>
    <x v="347"/>
    <x v="8"/>
    <n v="713.92"/>
    <x v="10"/>
    <x v="2"/>
  </r>
  <r>
    <x v="357"/>
    <x v="74"/>
    <s v="GUMTONE GEL"/>
    <x v="3"/>
    <n v="2"/>
    <x v="348"/>
    <x v="6"/>
    <n v="88"/>
    <x v="188"/>
    <x v="1"/>
  </r>
  <r>
    <x v="358"/>
    <x v="75"/>
    <s v="HAIR 4U SHAMPOO"/>
    <x v="3"/>
    <n v="2"/>
    <x v="349"/>
    <x v="32"/>
    <n v="2975"/>
    <x v="189"/>
    <x v="0"/>
  </r>
  <r>
    <x v="359"/>
    <x v="75"/>
    <s v="HAIR 4U SHAMPOO 250ML"/>
    <x v="3"/>
    <n v="2"/>
    <x v="350"/>
    <x v="6"/>
    <n v="500"/>
    <x v="189"/>
    <x v="1"/>
  </r>
  <r>
    <x v="360"/>
    <x v="75"/>
    <s v="HAIR 4U SHAMPOO 60ML"/>
    <x v="3"/>
    <n v="2"/>
    <x v="351"/>
    <x v="6"/>
    <n v="500"/>
    <x v="189"/>
    <x v="1"/>
  </r>
  <r>
    <x v="361"/>
    <x v="75"/>
    <s v="HAJMOLA CANDY JAR"/>
    <x v="3"/>
    <n v="2"/>
    <x v="352"/>
    <x v="6"/>
    <n v="70"/>
    <x v="190"/>
    <x v="1"/>
  </r>
  <r>
    <x v="362"/>
    <x v="75"/>
    <s v="HANSAPLAST PATCH"/>
    <x v="3"/>
    <n v="5"/>
    <x v="353"/>
    <x v="16"/>
    <n v="100"/>
    <x v="58"/>
    <x v="2"/>
  </r>
  <r>
    <x v="363"/>
    <x v="76"/>
    <s v="HANSAPLAST REGULAR"/>
    <x v="3"/>
    <n v="10"/>
    <x v="353"/>
    <x v="64"/>
    <n v="850"/>
    <x v="191"/>
    <x v="2"/>
  </r>
  <r>
    <x v="364"/>
    <x v="76"/>
    <s v="HANSAPLAST SPOTS"/>
    <x v="3"/>
    <n v="5"/>
    <x v="353"/>
    <x v="30"/>
    <n v="45"/>
    <x v="192"/>
    <x v="0"/>
  </r>
  <r>
    <x v="365"/>
    <x v="76"/>
    <s v="HANSAPLAST WASH PROOF STRIPS"/>
    <x v="3"/>
    <n v="7"/>
    <x v="354"/>
    <x v="17"/>
    <n v="180"/>
    <x v="58"/>
    <x v="2"/>
  </r>
  <r>
    <x v="366"/>
    <x v="77"/>
    <s v="HANSAPLAST WASH PROOF BAND AID"/>
    <x v="3"/>
    <n v="5"/>
    <x v="354"/>
    <x v="53"/>
    <n v="81"/>
    <x v="193"/>
    <x v="2"/>
  </r>
  <r>
    <x v="367"/>
    <x v="77"/>
    <s v="HANSAPLAST WASH PROOF BAND AID 1'S"/>
    <x v="3"/>
    <n v="10"/>
    <x v="355"/>
    <x v="65"/>
    <n v="390"/>
    <x v="193"/>
    <x v="2"/>
  </r>
  <r>
    <x v="368"/>
    <x v="77"/>
    <s v="HHFUDIC CREAM"/>
    <x v="3"/>
    <n v="2"/>
    <x v="356"/>
    <x v="1"/>
    <n v="640"/>
    <x v="194"/>
    <x v="1"/>
  </r>
  <r>
    <x v="369"/>
    <x v="77"/>
    <s v="HHSALIC OINT 20GM"/>
    <x v="3"/>
    <n v="5"/>
    <x v="357"/>
    <x v="30"/>
    <n v="6035"/>
    <x v="126"/>
    <x v="0"/>
  </r>
  <r>
    <x v="370"/>
    <x v="78"/>
    <s v="HHSONE CREAM 30GM"/>
    <x v="3"/>
    <n v="2"/>
    <x v="358"/>
    <x v="27"/>
    <n v="1492.52"/>
    <x v="194"/>
    <x v="0"/>
  </r>
  <r>
    <x v="371"/>
    <x v="78"/>
    <s v="HIFENAC P TAB"/>
    <x v="0"/>
    <n v="10"/>
    <x v="359"/>
    <x v="66"/>
    <n v="2943.06"/>
    <x v="195"/>
    <x v="2"/>
  </r>
  <r>
    <x v="372"/>
    <x v="78"/>
    <s v="HIMALAYA AYURSLIM CAP"/>
    <x v="3"/>
    <n v="2"/>
    <x v="360"/>
    <x v="6"/>
    <n v="340"/>
    <x v="196"/>
    <x v="1"/>
  </r>
  <r>
    <x v="373"/>
    <x v="78"/>
    <s v="HIMALAYA FACE WASH CREAM 100GM"/>
    <x v="3"/>
    <n v="2"/>
    <x v="361"/>
    <x v="6"/>
    <n v="160"/>
    <x v="197"/>
    <x v="1"/>
  </r>
  <r>
    <x v="374"/>
    <x v="78"/>
    <s v="HIMALAYA HONEY AND CREAM SOAP 125GM"/>
    <x v="3"/>
    <n v="2"/>
    <x v="362"/>
    <x v="1"/>
    <n v="128"/>
    <x v="197"/>
    <x v="1"/>
  </r>
  <r>
    <x v="375"/>
    <x v="79"/>
    <s v="HIMALAYA LIP BALM"/>
    <x v="3"/>
    <n v="5"/>
    <x v="363"/>
    <x v="13"/>
    <n v="880"/>
    <x v="197"/>
    <x v="2"/>
  </r>
  <r>
    <x v="376"/>
    <x v="79"/>
    <s v="HIMALAYA NATURAL GLOW FAIRNESS CREAM 50GM"/>
    <x v="3"/>
    <n v="2"/>
    <x v="364"/>
    <x v="6"/>
    <n v="100"/>
    <x v="197"/>
    <x v="1"/>
  </r>
  <r>
    <x v="377"/>
    <x v="79"/>
    <s v="HIMALAYA NEEM FACE WASH 200ML"/>
    <x v="3"/>
    <n v="2"/>
    <x v="365"/>
    <x v="4"/>
    <n v="2245"/>
    <x v="197"/>
    <x v="0"/>
  </r>
  <r>
    <x v="378"/>
    <x v="80"/>
    <s v="HIMALAYA TAN REMOVAL ORANGE FACE WASH 50ML"/>
    <x v="3"/>
    <n v="2"/>
    <x v="366"/>
    <x v="1"/>
    <n v="109"/>
    <x v="197"/>
    <x v="1"/>
  </r>
  <r>
    <x v="379"/>
    <x v="80"/>
    <s v="HIORA SG GEL"/>
    <x v="3"/>
    <n v="2"/>
    <x v="367"/>
    <x v="14"/>
    <n v="340"/>
    <x v="198"/>
    <x v="0"/>
  </r>
  <r>
    <x v="380"/>
    <x v="80"/>
    <s v="HOMIN TAB"/>
    <x v="0"/>
    <n v="5"/>
    <x v="368"/>
    <x v="12"/>
    <n v="154.69"/>
    <x v="199"/>
    <x v="0"/>
  </r>
  <r>
    <x v="381"/>
    <x v="80"/>
    <s v="HUMAN MIXTARD 30/70 40IU INJ"/>
    <x v="4"/>
    <n v="2"/>
    <x v="369"/>
    <x v="1"/>
    <n v="356.58"/>
    <x v="200"/>
    <x v="1"/>
  </r>
  <r>
    <x v="382"/>
    <x v="81"/>
    <s v="HYDROGEN PEROXIDE 100ML (ARIHANT)"/>
    <x v="3"/>
    <n v="5"/>
    <x v="370"/>
    <x v="11"/>
    <n v="790"/>
    <x v="201"/>
    <x v="0"/>
  </r>
  <r>
    <x v="383"/>
    <x v="81"/>
    <s v="HYDROGEN PEROXIDE 450ML"/>
    <x v="3"/>
    <n v="2"/>
    <x v="371"/>
    <x v="14"/>
    <n v="180"/>
    <x v="107"/>
    <x v="0"/>
  </r>
  <r>
    <x v="384"/>
    <x v="81"/>
    <s v="HYLUPRO EYE DROPS"/>
    <x v="3"/>
    <n v="2"/>
    <x v="372"/>
    <x v="1"/>
    <n v="588.78"/>
    <x v="202"/>
    <x v="1"/>
  </r>
  <r>
    <x v="385"/>
    <x v="81"/>
    <s v="I KOLD E/DROPS"/>
    <x v="3"/>
    <n v="2"/>
    <x v="373"/>
    <x v="6"/>
    <n v="60"/>
    <x v="203"/>
    <x v="1"/>
  </r>
  <r>
    <x v="386"/>
    <x v="81"/>
    <s v="IMOL PLUS TAB"/>
    <x v="0"/>
    <n v="7"/>
    <x v="374"/>
    <x v="17"/>
    <n v="142.19999999999999"/>
    <x v="134"/>
    <x v="2"/>
  </r>
  <r>
    <x v="387"/>
    <x v="82"/>
    <s v="INDOCAP 25MG CAP"/>
    <x v="3"/>
    <n v="5"/>
    <x v="375"/>
    <x v="12"/>
    <n v="68.48"/>
    <x v="204"/>
    <x v="0"/>
  </r>
  <r>
    <x v="388"/>
    <x v="82"/>
    <s v="INDULEKHA BRINGHA OIL"/>
    <x v="3"/>
    <n v="5"/>
    <x v="376"/>
    <x v="31"/>
    <n v="5526"/>
    <x v="205"/>
    <x v="0"/>
  </r>
  <r>
    <x v="389"/>
    <x v="82"/>
    <s v="INDULEKHA SHAMPOO"/>
    <x v="3"/>
    <n v="2"/>
    <x v="377"/>
    <x v="27"/>
    <n v="1196"/>
    <x v="206"/>
    <x v="0"/>
  </r>
  <r>
    <x v="390"/>
    <x v="83"/>
    <s v="INDULEKHA SHAMPOO 100ML"/>
    <x v="3"/>
    <n v="2"/>
    <x v="378"/>
    <x v="6"/>
    <n v="153"/>
    <x v="206"/>
    <x v="1"/>
  </r>
  <r>
    <x v="391"/>
    <x v="83"/>
    <s v="IODEX BALM 16GM"/>
    <x v="3"/>
    <n v="5"/>
    <x v="379"/>
    <x v="67"/>
    <n v="1584"/>
    <x v="207"/>
    <x v="0"/>
  </r>
  <r>
    <x v="392"/>
    <x v="83"/>
    <s v="IODEX BALM BIG 40GM"/>
    <x v="3"/>
    <n v="2"/>
    <x v="380"/>
    <x v="27"/>
    <n v="730"/>
    <x v="112"/>
    <x v="0"/>
  </r>
  <r>
    <x v="393"/>
    <x v="83"/>
    <s v="IODEX BALM SMALL 8GM"/>
    <x v="3"/>
    <n v="2"/>
    <x v="381"/>
    <x v="1"/>
    <n v="92"/>
    <x v="112"/>
    <x v="1"/>
  </r>
  <r>
    <x v="394"/>
    <x v="84"/>
    <s v="IODINE TINCTURE 100ML"/>
    <x v="3"/>
    <n v="5"/>
    <x v="382"/>
    <x v="16"/>
    <n v="3737.82"/>
    <x v="208"/>
    <x v="2"/>
  </r>
  <r>
    <x v="395"/>
    <x v="84"/>
    <s v="IODINE TINCTURE 50ML"/>
    <x v="3"/>
    <n v="5"/>
    <x v="383"/>
    <x v="0"/>
    <n v="750"/>
    <x v="209"/>
    <x v="0"/>
  </r>
  <r>
    <x v="396"/>
    <x v="84"/>
    <s v="ISOTROIN 20MG CAP"/>
    <x v="3"/>
    <n v="5"/>
    <x v="384"/>
    <x v="15"/>
    <n v="1108.53"/>
    <x v="210"/>
    <x v="2"/>
  </r>
  <r>
    <x v="397"/>
    <x v="84"/>
    <s v="ISRYL M3"/>
    <x v="3"/>
    <n v="7"/>
    <x v="385"/>
    <x v="17"/>
    <n v="343.14"/>
    <x v="211"/>
    <x v="2"/>
  </r>
  <r>
    <x v="398"/>
    <x v="84"/>
    <s v="ISTAMET 50/500MG TAB"/>
    <x v="0"/>
    <n v="7"/>
    <x v="386"/>
    <x v="17"/>
    <n v="662.61"/>
    <x v="182"/>
    <x v="2"/>
  </r>
  <r>
    <x v="399"/>
    <x v="85"/>
    <s v="ITCH GUARD CREAM 20GM"/>
    <x v="3"/>
    <n v="2"/>
    <x v="387"/>
    <x v="14"/>
    <n v="354.84"/>
    <x v="130"/>
    <x v="0"/>
  </r>
  <r>
    <x v="400"/>
    <x v="85"/>
    <s v="ITRACIP 200MG CAP"/>
    <x v="3"/>
    <n v="5"/>
    <x v="388"/>
    <x v="11"/>
    <n v="495.48"/>
    <x v="89"/>
    <x v="0"/>
  </r>
  <r>
    <x v="401"/>
    <x v="85"/>
    <s v="ITRANCURE 200MG"/>
    <x v="3"/>
    <n v="10"/>
    <x v="389"/>
    <x v="68"/>
    <n v="3468.36"/>
    <x v="212"/>
    <x v="2"/>
  </r>
  <r>
    <x v="402"/>
    <x v="86"/>
    <s v="IZ K CREAM"/>
    <x v="3"/>
    <n v="2"/>
    <x v="390"/>
    <x v="6"/>
    <n v="239.9"/>
    <x v="213"/>
    <x v="1"/>
  </r>
  <r>
    <x v="403"/>
    <x v="86"/>
    <s v="JALRA 50MG TAB"/>
    <x v="0"/>
    <n v="5"/>
    <x v="391"/>
    <x v="15"/>
    <n v="707.01"/>
    <x v="153"/>
    <x v="2"/>
  </r>
  <r>
    <x v="404"/>
    <x v="86"/>
    <s v="JALRA M 50/500MG TAB"/>
    <x v="0"/>
    <n v="10"/>
    <x v="392"/>
    <x v="69"/>
    <n v="25350.46"/>
    <x v="153"/>
    <x v="2"/>
  </r>
  <r>
    <x v="405"/>
    <x v="86"/>
    <s v="JANUMET 50/1GM TAB"/>
    <x v="0"/>
    <n v="7"/>
    <x v="393"/>
    <x v="17"/>
    <n v="1425"/>
    <x v="214"/>
    <x v="2"/>
  </r>
  <r>
    <x v="406"/>
    <x v="87"/>
    <s v="JANUVIA 100MG TAB 7'S"/>
    <x v="0"/>
    <n v="10"/>
    <x v="394"/>
    <x v="70"/>
    <n v="10509.41"/>
    <x v="215"/>
    <x v="2"/>
  </r>
  <r>
    <x v="407"/>
    <x v="87"/>
    <s v="JARDIANCE 10MG TAB"/>
    <x v="0"/>
    <n v="10"/>
    <x v="395"/>
    <x v="71"/>
    <n v="10286.86"/>
    <x v="216"/>
    <x v="2"/>
  </r>
  <r>
    <x v="408"/>
    <x v="87"/>
    <s v="JMS MEDITAPE 1/2 INCH"/>
    <x v="3"/>
    <n v="2"/>
    <x v="346"/>
    <x v="1"/>
    <n v="160"/>
    <x v="217"/>
    <x v="1"/>
  </r>
  <r>
    <x v="409"/>
    <x v="87"/>
    <s v="JMS MEDITAPE 3IN 12'S"/>
    <x v="3"/>
    <n v="5"/>
    <x v="396"/>
    <x v="26"/>
    <n v="3854.84"/>
    <x v="51"/>
    <x v="2"/>
  </r>
  <r>
    <x v="410"/>
    <x v="87"/>
    <s v="JOHNSONS BABY SOAP 150GM"/>
    <x v="3"/>
    <n v="2"/>
    <x v="397"/>
    <x v="6"/>
    <n v="135"/>
    <x v="218"/>
    <x v="1"/>
  </r>
  <r>
    <x v="411"/>
    <x v="88"/>
    <s v="JUST TEARS EYE DROPS"/>
    <x v="3"/>
    <n v="2"/>
    <x v="398"/>
    <x v="1"/>
    <n v="266"/>
    <x v="219"/>
    <x v="1"/>
  </r>
  <r>
    <x v="412"/>
    <x v="88"/>
    <s v="K&amp;H PAIN FREE SP TAB"/>
    <x v="0"/>
    <n v="10"/>
    <x v="399"/>
    <x v="72"/>
    <n v="1320.22"/>
    <x v="14"/>
    <x v="2"/>
  </r>
  <r>
    <x v="413"/>
    <x v="88"/>
    <s v="KANTHASUDHARAK BATI"/>
    <x v="3"/>
    <n v="5"/>
    <x v="400"/>
    <x v="73"/>
    <n v="350"/>
    <x v="220"/>
    <x v="2"/>
  </r>
  <r>
    <x v="414"/>
    <x v="89"/>
    <s v="KANTHSUDHARAK BATI"/>
    <x v="3"/>
    <n v="2"/>
    <x v="401"/>
    <x v="32"/>
    <n v="60"/>
    <x v="221"/>
    <x v="0"/>
  </r>
  <r>
    <x v="415"/>
    <x v="89"/>
    <s v="KCOR 10MG TAB"/>
    <x v="0"/>
    <n v="2"/>
    <x v="402"/>
    <x v="6"/>
    <n v="543"/>
    <x v="222"/>
    <x v="1"/>
  </r>
  <r>
    <x v="416"/>
    <x v="89"/>
    <s v="KERAGLO MEN TAB"/>
    <x v="0"/>
    <n v="5"/>
    <x v="403"/>
    <x v="15"/>
    <n v="789"/>
    <x v="11"/>
    <x v="2"/>
  </r>
  <r>
    <x v="417"/>
    <x v="89"/>
    <s v="KETOKEM SOAP"/>
    <x v="3"/>
    <n v="2"/>
    <x v="404"/>
    <x v="6"/>
    <n v="143"/>
    <x v="223"/>
    <x v="1"/>
  </r>
  <r>
    <x v="418"/>
    <x v="90"/>
    <s v="KETOROL DT 10MG TAB"/>
    <x v="0"/>
    <n v="5"/>
    <x v="405"/>
    <x v="0"/>
    <n v="177.26"/>
    <x v="97"/>
    <x v="0"/>
  </r>
  <r>
    <x v="419"/>
    <x v="90"/>
    <s v="KETZ SOAP"/>
    <x v="3"/>
    <n v="2"/>
    <x v="15"/>
    <x v="6"/>
    <n v="110"/>
    <x v="224"/>
    <x v="1"/>
  </r>
  <r>
    <x v="420"/>
    <x v="90"/>
    <s v="KOFLET LOZENGE"/>
    <x v="3"/>
    <n v="10"/>
    <x v="406"/>
    <x v="42"/>
    <n v="281.27999999999997"/>
    <x v="198"/>
    <x v="2"/>
  </r>
  <r>
    <x v="421"/>
    <x v="90"/>
    <s v="KOFLET LOZENGES 1'S"/>
    <x v="3"/>
    <n v="10"/>
    <x v="353"/>
    <x v="68"/>
    <n v="346.66"/>
    <x v="198"/>
    <x v="2"/>
  </r>
  <r>
    <x v="422"/>
    <x v="90"/>
    <s v="KRISTRA 200 CAPS"/>
    <x v="3"/>
    <n v="7"/>
    <x v="389"/>
    <x v="63"/>
    <n v="2213.8200000000002"/>
    <x v="225"/>
    <x v="2"/>
  </r>
  <r>
    <x v="423"/>
    <x v="91"/>
    <s v="KUFF Q DX TAB"/>
    <x v="0"/>
    <n v="2"/>
    <x v="407"/>
    <x v="27"/>
    <n v="30"/>
    <x v="226"/>
    <x v="0"/>
  </r>
  <r>
    <x v="424"/>
    <x v="91"/>
    <s v="KYLAZINE TOTAL 10"/>
    <x v="3"/>
    <n v="5"/>
    <x v="408"/>
    <x v="12"/>
    <n v="152.9"/>
    <x v="227"/>
    <x v="0"/>
  </r>
  <r>
    <x v="425"/>
    <x v="91"/>
    <s v="KZ PLUS SOAP"/>
    <x v="3"/>
    <n v="7"/>
    <x v="409"/>
    <x v="47"/>
    <n v="13934"/>
    <x v="94"/>
    <x v="2"/>
  </r>
  <r>
    <x v="426"/>
    <x v="92"/>
    <s v="LACNE BODY SPRAY"/>
    <x v="3"/>
    <n v="2"/>
    <x v="410"/>
    <x v="6"/>
    <n v="531"/>
    <x v="228"/>
    <x v="1"/>
  </r>
  <r>
    <x v="427"/>
    <x v="92"/>
    <s v="LACTOGEN 1 POWDER 400GM REFIL"/>
    <x v="3"/>
    <n v="2"/>
    <x v="411"/>
    <x v="1"/>
    <n v="970"/>
    <x v="229"/>
    <x v="1"/>
  </r>
  <r>
    <x v="428"/>
    <x v="92"/>
    <s v="LAKME LIP BALM"/>
    <x v="3"/>
    <n v="2"/>
    <x v="412"/>
    <x v="6"/>
    <n v="249"/>
    <x v="95"/>
    <x v="1"/>
  </r>
  <r>
    <x v="429"/>
    <x v="92"/>
    <s v="LAKME SUN EXPERT CREAM 55GM"/>
    <x v="3"/>
    <n v="2"/>
    <x v="413"/>
    <x v="6"/>
    <n v="369"/>
    <x v="95"/>
    <x v="1"/>
  </r>
  <r>
    <x v="430"/>
    <x v="93"/>
    <s v="LAKME SUN EXPERT SPF 50 PA++++ GEL 50ML"/>
    <x v="3"/>
    <n v="2"/>
    <x v="414"/>
    <x v="1"/>
    <n v="738"/>
    <x v="95"/>
    <x v="1"/>
  </r>
  <r>
    <x v="431"/>
    <x v="93"/>
    <s v="LANOXIN 0.25MG TAB"/>
    <x v="0"/>
    <n v="5"/>
    <x v="415"/>
    <x v="12"/>
    <n v="14.9"/>
    <x v="230"/>
    <x v="0"/>
  </r>
  <r>
    <x v="432"/>
    <x v="93"/>
    <s v="LASILACTONE 50MG TAB"/>
    <x v="0"/>
    <n v="5"/>
    <x v="416"/>
    <x v="11"/>
    <n v="129.63999999999999"/>
    <x v="231"/>
    <x v="0"/>
  </r>
  <r>
    <x v="433"/>
    <x v="94"/>
    <s v="LATEX EXAM GLOVES L 100'S"/>
    <x v="3"/>
    <n v="5"/>
    <x v="417"/>
    <x v="12"/>
    <n v="150"/>
    <x v="232"/>
    <x v="0"/>
  </r>
  <r>
    <x v="434"/>
    <x v="94"/>
    <s v="LEFNO 20MG TAB"/>
    <x v="0"/>
    <n v="7"/>
    <x v="418"/>
    <x v="63"/>
    <n v="2724.93"/>
    <x v="233"/>
    <x v="2"/>
  </r>
  <r>
    <x v="435"/>
    <x v="94"/>
    <s v="LEUKOCREPE 10CMX4M"/>
    <x v="3"/>
    <n v="5"/>
    <x v="419"/>
    <x v="74"/>
    <n v="12178"/>
    <x v="58"/>
    <x v="2"/>
  </r>
  <r>
    <x v="436"/>
    <x v="94"/>
    <s v="LEUKOCREPE 6CMX4M"/>
    <x v="3"/>
    <n v="2"/>
    <x v="420"/>
    <x v="6"/>
    <n v="286"/>
    <x v="58"/>
    <x v="1"/>
  </r>
  <r>
    <x v="437"/>
    <x v="95"/>
    <s v="LEUKOCREPE 8CMX4M"/>
    <x v="3"/>
    <n v="2"/>
    <x v="421"/>
    <x v="14"/>
    <n v="1063"/>
    <x v="58"/>
    <x v="0"/>
  </r>
  <r>
    <x v="438"/>
    <x v="95"/>
    <s v="LEUKOPLAST 2.5CMX5M"/>
    <x v="3"/>
    <n v="2"/>
    <x v="422"/>
    <x v="6"/>
    <n v="156"/>
    <x v="58"/>
    <x v="1"/>
  </r>
  <r>
    <x v="439"/>
    <x v="95"/>
    <s v="LEVOCET TAB"/>
    <x v="0"/>
    <n v="5"/>
    <x v="423"/>
    <x v="11"/>
    <n v="105.8"/>
    <x v="234"/>
    <x v="0"/>
  </r>
  <r>
    <x v="440"/>
    <x v="95"/>
    <s v="LICHENSA CREAM 40GM"/>
    <x v="3"/>
    <n v="2"/>
    <x v="424"/>
    <x v="27"/>
    <n v="540"/>
    <x v="235"/>
    <x v="0"/>
  </r>
  <r>
    <x v="441"/>
    <x v="95"/>
    <s v="LIFEBUOY TOTAL 10 HAND WASH POUCH 185ML"/>
    <x v="3"/>
    <n v="2"/>
    <x v="425"/>
    <x v="1"/>
    <n v="198"/>
    <x v="95"/>
    <x v="1"/>
  </r>
  <r>
    <x v="442"/>
    <x v="96"/>
    <s v="LIMCEE 500MG TAB"/>
    <x v="0"/>
    <n v="10"/>
    <x v="311"/>
    <x v="75"/>
    <n v="280.73"/>
    <x v="236"/>
    <x v="2"/>
  </r>
  <r>
    <x v="443"/>
    <x v="96"/>
    <s v="LINARES 5"/>
    <x v="3"/>
    <n v="7"/>
    <x v="426"/>
    <x v="63"/>
    <n v="1483.65"/>
    <x v="60"/>
    <x v="2"/>
  </r>
  <r>
    <x v="444"/>
    <x v="96"/>
    <s v="LIOFEN 5MG TAB"/>
    <x v="0"/>
    <n v="5"/>
    <x v="283"/>
    <x v="16"/>
    <n v="267.12"/>
    <x v="237"/>
    <x v="2"/>
  </r>
  <r>
    <x v="445"/>
    <x v="97"/>
    <s v="LION BELLADONA PLASTER PAIN RELIEF PATCH"/>
    <x v="3"/>
    <n v="5"/>
    <x v="427"/>
    <x v="36"/>
    <n v="282"/>
    <x v="238"/>
    <x v="0"/>
  </r>
  <r>
    <x v="446"/>
    <x v="97"/>
    <s v="LION PLASTER 10'S"/>
    <x v="3"/>
    <n v="5"/>
    <x v="428"/>
    <x v="36"/>
    <n v="286"/>
    <x v="116"/>
    <x v="0"/>
  </r>
  <r>
    <x v="447"/>
    <x v="97"/>
    <s v="LIPONORM 10MG TAB 15'S"/>
    <x v="0"/>
    <n v="5"/>
    <x v="429"/>
    <x v="0"/>
    <n v="56"/>
    <x v="239"/>
    <x v="0"/>
  </r>
  <r>
    <x v="448"/>
    <x v="97"/>
    <s v="LIPVAS 10MG TAB"/>
    <x v="0"/>
    <n v="5"/>
    <x v="430"/>
    <x v="15"/>
    <n v="165.96"/>
    <x v="89"/>
    <x v="2"/>
  </r>
  <r>
    <x v="449"/>
    <x v="98"/>
    <s v="LIV 52 SYP 200ML"/>
    <x v="1"/>
    <n v="2"/>
    <x v="431"/>
    <x v="6"/>
    <n v="250"/>
    <x v="240"/>
    <x v="1"/>
  </r>
  <r>
    <x v="450"/>
    <x v="98"/>
    <s v="LIVEASY COMPRESSOR NEBULIZER MODEL LE NL 01"/>
    <x v="3"/>
    <n v="2"/>
    <x v="432"/>
    <x v="6"/>
    <n v="1799"/>
    <x v="241"/>
    <x v="1"/>
  </r>
  <r>
    <x v="451"/>
    <x v="98"/>
    <s v="LIVEASY CREPE BANDAGE 10CMX4M"/>
    <x v="3"/>
    <n v="2"/>
    <x v="433"/>
    <x v="1"/>
    <n v="450"/>
    <x v="242"/>
    <x v="1"/>
  </r>
  <r>
    <x v="452"/>
    <x v="98"/>
    <s v="LIVEASY ORS POWDER"/>
    <x v="3"/>
    <n v="5"/>
    <x v="434"/>
    <x v="12"/>
    <n v="218.2"/>
    <x v="243"/>
    <x v="0"/>
  </r>
  <r>
    <x v="453"/>
    <x v="98"/>
    <s v="LIVEASY ORTHO CARE LUMBAR SACRO SUPPORT BELT"/>
    <x v="3"/>
    <n v="2"/>
    <x v="435"/>
    <x v="6"/>
    <n v="749"/>
    <x v="244"/>
    <x v="1"/>
  </r>
  <r>
    <x v="454"/>
    <x v="99"/>
    <s v="LIVEASY REGULAR BANDAGE"/>
    <x v="3"/>
    <n v="5"/>
    <x v="436"/>
    <x v="76"/>
    <n v="107.82"/>
    <x v="245"/>
    <x v="2"/>
  </r>
  <r>
    <x v="455"/>
    <x v="99"/>
    <s v="LIVEASY WATERPROOF BANDAGE"/>
    <x v="3"/>
    <n v="5"/>
    <x v="355"/>
    <x v="12"/>
    <n v="30"/>
    <x v="244"/>
    <x v="0"/>
  </r>
  <r>
    <x v="456"/>
    <x v="99"/>
    <s v="LIVOGEN XT TAB"/>
    <x v="0"/>
    <n v="7"/>
    <x v="437"/>
    <x v="47"/>
    <n v="1478.82"/>
    <x v="104"/>
    <x v="2"/>
  </r>
  <r>
    <x v="457"/>
    <x v="99"/>
    <s v="LIVOGEN Z TAB 15'S"/>
    <x v="0"/>
    <n v="5"/>
    <x v="438"/>
    <x v="0"/>
    <n v="105.63"/>
    <x v="14"/>
    <x v="0"/>
  </r>
  <r>
    <x v="458"/>
    <x v="100"/>
    <s v="LIVON HAIR SERUM"/>
    <x v="3"/>
    <n v="2"/>
    <x v="439"/>
    <x v="6"/>
    <n v="350"/>
    <x v="116"/>
    <x v="1"/>
  </r>
  <r>
    <x v="459"/>
    <x v="100"/>
    <s v="LOMELA CREAM 18GM"/>
    <x v="3"/>
    <n v="2"/>
    <x v="440"/>
    <x v="6"/>
    <n v="218"/>
    <x v="246"/>
    <x v="1"/>
  </r>
  <r>
    <x v="460"/>
    <x v="100"/>
    <s v="LOSSAIR TAB"/>
    <x v="0"/>
    <n v="10"/>
    <x v="441"/>
    <x v="42"/>
    <n v="2160"/>
    <x v="247"/>
    <x v="2"/>
  </r>
  <r>
    <x v="461"/>
    <x v="100"/>
    <s v="LOTEFAST EYE DROPS"/>
    <x v="3"/>
    <n v="2"/>
    <x v="442"/>
    <x v="6"/>
    <n v="216"/>
    <x v="248"/>
    <x v="1"/>
  </r>
  <r>
    <x v="462"/>
    <x v="100"/>
    <s v="LOTUS DERMA BOTANICS SERUM"/>
    <x v="3"/>
    <n v="2"/>
    <x v="443"/>
    <x v="14"/>
    <n v="1785"/>
    <x v="249"/>
    <x v="0"/>
  </r>
  <r>
    <x v="463"/>
    <x v="101"/>
    <s v="LOTUS HERBALS SAFE SUN SPF 50 CREAM"/>
    <x v="3"/>
    <n v="2"/>
    <x v="444"/>
    <x v="4"/>
    <n v="2075"/>
    <x v="250"/>
    <x v="0"/>
  </r>
  <r>
    <x v="464"/>
    <x v="101"/>
    <s v="LOX 2% INJ 30ML"/>
    <x v="4"/>
    <n v="2"/>
    <x v="445"/>
    <x v="6"/>
    <n v="37.950000000000003"/>
    <x v="251"/>
    <x v="1"/>
  </r>
  <r>
    <x v="465"/>
    <x v="101"/>
    <s v="LOX 2% JELLY"/>
    <x v="3"/>
    <n v="2"/>
    <x v="446"/>
    <x v="6"/>
    <n v="37.950000000000003"/>
    <x v="251"/>
    <x v="1"/>
  </r>
  <r>
    <x v="466"/>
    <x v="102"/>
    <s v="LUBIMOIST EYE DROPS"/>
    <x v="3"/>
    <n v="2"/>
    <x v="447"/>
    <x v="6"/>
    <n v="328.96"/>
    <x v="252"/>
    <x v="1"/>
  </r>
  <r>
    <x v="467"/>
    <x v="102"/>
    <s v="LUBREX EYE DROPS"/>
    <x v="3"/>
    <n v="2"/>
    <x v="448"/>
    <x v="77"/>
    <n v="964.32"/>
    <x v="253"/>
    <x v="0"/>
  </r>
  <r>
    <x v="468"/>
    <x v="102"/>
    <s v="LUDURA CREAM 50GM"/>
    <x v="3"/>
    <n v="5"/>
    <x v="449"/>
    <x v="51"/>
    <n v="16076.64"/>
    <x v="254"/>
    <x v="2"/>
  </r>
  <r>
    <x v="469"/>
    <x v="102"/>
    <s v="LULICOZ CREAM"/>
    <x v="3"/>
    <n v="2"/>
    <x v="450"/>
    <x v="27"/>
    <n v="975"/>
    <x v="224"/>
    <x v="0"/>
  </r>
  <r>
    <x v="470"/>
    <x v="103"/>
    <s v="LULIFORD CREAM 30GM"/>
    <x v="3"/>
    <n v="2"/>
    <x v="451"/>
    <x v="1"/>
    <n v="500"/>
    <x v="255"/>
    <x v="1"/>
  </r>
  <r>
    <x v="471"/>
    <x v="103"/>
    <s v="M SOLVIN EXP 100ML (OLD NAME MUCO SOLVIN)"/>
    <x v="3"/>
    <n v="2"/>
    <x v="452"/>
    <x v="6"/>
    <n v="116.7"/>
    <x v="256"/>
    <x v="1"/>
  </r>
  <r>
    <x v="472"/>
    <x v="103"/>
    <s v="MAHAFLOX EYE OINT"/>
    <x v="3"/>
    <n v="2"/>
    <x v="453"/>
    <x v="6"/>
    <n v="102.85"/>
    <x v="10"/>
    <x v="1"/>
  </r>
  <r>
    <x v="473"/>
    <x v="103"/>
    <s v="MAMAEARTH UBTAN NATURAL GLOW FACE WASH"/>
    <x v="3"/>
    <n v="2"/>
    <x v="454"/>
    <x v="6"/>
    <n v="269"/>
    <x v="257"/>
    <x v="1"/>
  </r>
  <r>
    <x v="474"/>
    <x v="103"/>
    <s v="MAMAEARTH CHARCOAL FACE WASH"/>
    <x v="3"/>
    <n v="2"/>
    <x v="454"/>
    <x v="6"/>
    <n v="269"/>
    <x v="258"/>
    <x v="1"/>
  </r>
  <r>
    <x v="475"/>
    <x v="104"/>
    <s v="MAMAEARTH FACE SERUM VITAMIN C"/>
    <x v="3"/>
    <n v="2"/>
    <x v="455"/>
    <x v="6"/>
    <n v="599"/>
    <x v="257"/>
    <x v="1"/>
  </r>
  <r>
    <x v="476"/>
    <x v="104"/>
    <s v="MAMAEARTH NEEM PIMPLE CLEAR FACE WASH"/>
    <x v="3"/>
    <n v="2"/>
    <x v="456"/>
    <x v="6"/>
    <n v="349"/>
    <x v="258"/>
    <x v="1"/>
  </r>
  <r>
    <x v="477"/>
    <x v="104"/>
    <s v="MAMAEARTH ONION HAIR SERUM"/>
    <x v="3"/>
    <n v="2"/>
    <x v="214"/>
    <x v="6"/>
    <n v="299"/>
    <x v="258"/>
    <x v="1"/>
  </r>
  <r>
    <x v="478"/>
    <x v="105"/>
    <s v="MAMAEARTH ONION SHAMPOO"/>
    <x v="3"/>
    <n v="2"/>
    <x v="457"/>
    <x v="6"/>
    <n v="349"/>
    <x v="257"/>
    <x v="1"/>
  </r>
  <r>
    <x v="479"/>
    <x v="105"/>
    <s v="MAMAEARTH RICE DEWY BRIGHT FACE WASH"/>
    <x v="3"/>
    <n v="2"/>
    <x v="454"/>
    <x v="4"/>
    <n v="1345"/>
    <x v="257"/>
    <x v="0"/>
  </r>
  <r>
    <x v="480"/>
    <x v="105"/>
    <s v="MAMAEARTH RICE FACE WASH"/>
    <x v="3"/>
    <n v="2"/>
    <x v="458"/>
    <x v="14"/>
    <n v="957"/>
    <x v="257"/>
    <x v="0"/>
  </r>
  <r>
    <x v="481"/>
    <x v="105"/>
    <s v="MAMAEARTH RICE WATER"/>
    <x v="3"/>
    <n v="2"/>
    <x v="459"/>
    <x v="6"/>
    <n v="499"/>
    <x v="259"/>
    <x v="1"/>
  </r>
  <r>
    <x v="482"/>
    <x v="105"/>
    <s v="MAMAEARTH TEA TREE ACNE"/>
    <x v="3"/>
    <n v="2"/>
    <x v="454"/>
    <x v="4"/>
    <n v="1345"/>
    <x v="258"/>
    <x v="0"/>
  </r>
  <r>
    <x v="483"/>
    <x v="106"/>
    <s v="MAMAEARTH UBTAN FACE WASH"/>
    <x v="3"/>
    <n v="5"/>
    <x v="460"/>
    <x v="7"/>
    <n v="5626"/>
    <x v="257"/>
    <x v="0"/>
  </r>
  <r>
    <x v="484"/>
    <x v="106"/>
    <s v="MAMAEARTH VITAMIN C FACE WASH"/>
    <x v="3"/>
    <n v="5"/>
    <x v="460"/>
    <x v="78"/>
    <n v="12609"/>
    <x v="260"/>
    <x v="2"/>
  </r>
  <r>
    <x v="485"/>
    <x v="106"/>
    <s v="MAMAEARTH VITAMIN C FACE WASH 100ML"/>
    <x v="3"/>
    <n v="2"/>
    <x v="461"/>
    <x v="4"/>
    <n v="1335"/>
    <x v="261"/>
    <x v="0"/>
  </r>
  <r>
    <x v="486"/>
    <x v="107"/>
    <s v="MAXIRICH CAP"/>
    <x v="3"/>
    <n v="5"/>
    <x v="462"/>
    <x v="15"/>
    <n v="387"/>
    <x v="89"/>
    <x v="2"/>
  </r>
  <r>
    <x v="487"/>
    <x v="107"/>
    <s v="MEDERMA ADVANCED PLUS CREAM"/>
    <x v="3"/>
    <n v="2"/>
    <x v="463"/>
    <x v="6"/>
    <n v="530"/>
    <x v="60"/>
    <x v="1"/>
  </r>
  <r>
    <x v="488"/>
    <x v="107"/>
    <s v="MEDERMA ADVANCED PLUS SCAR GEL 10GM"/>
    <x v="3"/>
    <n v="2"/>
    <x v="463"/>
    <x v="14"/>
    <n v="1590"/>
    <x v="60"/>
    <x v="0"/>
  </r>
  <r>
    <x v="489"/>
    <x v="107"/>
    <s v="MEDIMIX SOAP 75GM"/>
    <x v="3"/>
    <n v="2"/>
    <x v="464"/>
    <x v="1"/>
    <n v="70"/>
    <x v="65"/>
    <x v="1"/>
  </r>
  <r>
    <x v="490"/>
    <x v="108"/>
    <s v="MEDIPORE TAPE 6 INCH (15CM X 9.14M)"/>
    <x v="3"/>
    <n v="5"/>
    <x v="465"/>
    <x v="12"/>
    <n v="1300"/>
    <x v="262"/>
    <x v="0"/>
  </r>
  <r>
    <x v="491"/>
    <x v="108"/>
    <s v="MEDOMOL 500MG TAB 15'S"/>
    <x v="0"/>
    <n v="5"/>
    <x v="466"/>
    <x v="73"/>
    <n v="34.9"/>
    <x v="263"/>
    <x v="2"/>
  </r>
  <r>
    <x v="492"/>
    <x v="108"/>
    <s v="MEDOMOL 650MG TAB 15'S"/>
    <x v="0"/>
    <n v="10"/>
    <x v="467"/>
    <x v="29"/>
    <n v="446.6"/>
    <x v="263"/>
    <x v="2"/>
  </r>
  <r>
    <x v="493"/>
    <x v="108"/>
    <s v="MEFTAL SPAS TAB"/>
    <x v="0"/>
    <n v="7"/>
    <x v="468"/>
    <x v="47"/>
    <n v="364"/>
    <x v="239"/>
    <x v="2"/>
  </r>
  <r>
    <x v="494"/>
    <x v="108"/>
    <s v="MEGAMET G1 TAB"/>
    <x v="0"/>
    <n v="5"/>
    <x v="469"/>
    <x v="12"/>
    <n v="90.6"/>
    <x v="184"/>
    <x v="0"/>
  </r>
  <r>
    <x v="495"/>
    <x v="109"/>
    <s v="MENTHO PLUS BALM 1.2ML"/>
    <x v="3"/>
    <n v="2"/>
    <x v="470"/>
    <x v="77"/>
    <n v="70"/>
    <x v="264"/>
    <x v="0"/>
  </r>
  <r>
    <x v="496"/>
    <x v="109"/>
    <s v="MENTHO PLUS BALM 9.8ML"/>
    <x v="3"/>
    <n v="2"/>
    <x v="471"/>
    <x v="6"/>
    <n v="38"/>
    <x v="264"/>
    <x v="1"/>
  </r>
  <r>
    <x v="497"/>
    <x v="109"/>
    <s v="MICROBENZ 3.5% AQUEOUS GEL 15GM"/>
    <x v="3"/>
    <n v="2"/>
    <x v="472"/>
    <x v="6"/>
    <n v="169.84"/>
    <x v="265"/>
    <x v="1"/>
  </r>
  <r>
    <x v="498"/>
    <x v="110"/>
    <s v="MINIPRESS XL 5MG TAB 30'S"/>
    <x v="0"/>
    <n v="7"/>
    <x v="473"/>
    <x v="17"/>
    <n v="1334.04"/>
    <x v="266"/>
    <x v="2"/>
  </r>
  <r>
    <x v="499"/>
    <x v="110"/>
    <s v="MINOLAST LC KID TAB"/>
    <x v="0"/>
    <n v="5"/>
    <x v="474"/>
    <x v="12"/>
    <n v="88"/>
    <x v="77"/>
    <x v="0"/>
  </r>
  <r>
    <x v="500"/>
    <x v="110"/>
    <s v="MIXTARD 30HM PENFILL INJ 3ML"/>
    <x v="4"/>
    <n v="2"/>
    <x v="475"/>
    <x v="6"/>
    <n v="424.59"/>
    <x v="200"/>
    <x v="1"/>
  </r>
  <r>
    <x v="501"/>
    <x v="110"/>
    <s v="MOMATE CREAM 20GM"/>
    <x v="3"/>
    <n v="2"/>
    <x v="476"/>
    <x v="32"/>
    <n v="1923"/>
    <x v="189"/>
    <x v="0"/>
  </r>
  <r>
    <x v="502"/>
    <x v="111"/>
    <s v="MOMATE F CREAM 10GM"/>
    <x v="3"/>
    <n v="2"/>
    <x v="477"/>
    <x v="6"/>
    <n v="341.5"/>
    <x v="189"/>
    <x v="1"/>
  </r>
  <r>
    <x v="503"/>
    <x v="111"/>
    <s v="MONDESLOR TAB"/>
    <x v="0"/>
    <n v="5"/>
    <x v="478"/>
    <x v="12"/>
    <n v="225"/>
    <x v="267"/>
    <x v="0"/>
  </r>
  <r>
    <x v="504"/>
    <x v="111"/>
    <s v="MONOCEF 1GM INJ"/>
    <x v="4"/>
    <n v="2"/>
    <x v="479"/>
    <x v="1"/>
    <n v="142.16"/>
    <x v="32"/>
    <x v="1"/>
  </r>
  <r>
    <x v="505"/>
    <x v="112"/>
    <s v="MONOCEF O 200MG TAB"/>
    <x v="0"/>
    <n v="7"/>
    <x v="480"/>
    <x v="47"/>
    <n v="1505"/>
    <x v="32"/>
    <x v="2"/>
  </r>
  <r>
    <x v="506"/>
    <x v="112"/>
    <s v="MONTAIR 10MG TAB"/>
    <x v="0"/>
    <n v="5"/>
    <x v="481"/>
    <x v="0"/>
    <n v="276.2"/>
    <x v="37"/>
    <x v="0"/>
  </r>
  <r>
    <x v="507"/>
    <x v="112"/>
    <s v="MONTAIR FX TAB"/>
    <x v="0"/>
    <n v="5"/>
    <x v="482"/>
    <x v="12"/>
    <n v="269.26"/>
    <x v="37"/>
    <x v="0"/>
  </r>
  <r>
    <x v="508"/>
    <x v="112"/>
    <s v="MONTAIR LC TAB"/>
    <x v="0"/>
    <n v="5"/>
    <x v="483"/>
    <x v="30"/>
    <n v="463.07"/>
    <x v="37"/>
    <x v="0"/>
  </r>
  <r>
    <x v="509"/>
    <x v="113"/>
    <s v="MONTEK BL TAB"/>
    <x v="0"/>
    <n v="5"/>
    <x v="484"/>
    <x v="11"/>
    <n v="439.81"/>
    <x v="268"/>
    <x v="0"/>
  </r>
  <r>
    <x v="510"/>
    <x v="113"/>
    <s v="MONTEK LC KID TAB"/>
    <x v="0"/>
    <n v="5"/>
    <x v="485"/>
    <x v="11"/>
    <n v="280"/>
    <x v="268"/>
    <x v="0"/>
  </r>
  <r>
    <x v="511"/>
    <x v="113"/>
    <s v="MONTEK LC TAB"/>
    <x v="0"/>
    <n v="5"/>
    <x v="486"/>
    <x v="13"/>
    <n v="542.21"/>
    <x v="268"/>
    <x v="2"/>
  </r>
  <r>
    <x v="512"/>
    <x v="113"/>
    <s v="MONTEWOK LC TAB"/>
    <x v="0"/>
    <n v="10"/>
    <x v="487"/>
    <x v="79"/>
    <n v="16418.150000000001"/>
    <x v="5"/>
    <x v="2"/>
  </r>
  <r>
    <x v="513"/>
    <x v="113"/>
    <s v="MONTICOPE TAB"/>
    <x v="0"/>
    <n v="5"/>
    <x v="488"/>
    <x v="12"/>
    <n v="99.9"/>
    <x v="81"/>
    <x v="0"/>
  </r>
  <r>
    <x v="514"/>
    <x v="114"/>
    <s v="MOOV COOL SPRAY"/>
    <x v="3"/>
    <n v="2"/>
    <x v="489"/>
    <x v="6"/>
    <n v="230"/>
    <x v="269"/>
    <x v="1"/>
  </r>
  <r>
    <x v="515"/>
    <x v="114"/>
    <s v="MOOV CREAM 10GM"/>
    <x v="3"/>
    <n v="2"/>
    <x v="490"/>
    <x v="6"/>
    <n v="66"/>
    <x v="116"/>
    <x v="1"/>
  </r>
  <r>
    <x v="516"/>
    <x v="114"/>
    <s v="MOOV CREAM 30GM"/>
    <x v="3"/>
    <n v="5"/>
    <x v="491"/>
    <x v="13"/>
    <n v="3868"/>
    <x v="116"/>
    <x v="2"/>
  </r>
  <r>
    <x v="517"/>
    <x v="115"/>
    <s v="MOOV CREAM 50GM"/>
    <x v="3"/>
    <n v="2"/>
    <x v="492"/>
    <x v="14"/>
    <n v="744"/>
    <x v="116"/>
    <x v="0"/>
  </r>
  <r>
    <x v="518"/>
    <x v="115"/>
    <s v="MOOV OINT 20GM"/>
    <x v="3"/>
    <n v="2"/>
    <x v="493"/>
    <x v="1"/>
    <n v="242"/>
    <x v="116"/>
    <x v="1"/>
  </r>
  <r>
    <x v="519"/>
    <x v="115"/>
    <s v="MOOV OINT 75GM"/>
    <x v="3"/>
    <n v="2"/>
    <x v="494"/>
    <x v="6"/>
    <n v="277.5"/>
    <x v="130"/>
    <x v="1"/>
  </r>
  <r>
    <x v="520"/>
    <x v="116"/>
    <s v="MOOV SPRAY 50GM"/>
    <x v="3"/>
    <n v="2"/>
    <x v="495"/>
    <x v="32"/>
    <n v="1380"/>
    <x v="116"/>
    <x v="0"/>
  </r>
  <r>
    <x v="521"/>
    <x v="116"/>
    <s v="MOOV SPRAY 80GM"/>
    <x v="3"/>
    <n v="2"/>
    <x v="496"/>
    <x v="32"/>
    <n v="2149"/>
    <x v="116"/>
    <x v="0"/>
  </r>
  <r>
    <x v="522"/>
    <x v="116"/>
    <s v="MOSOFT F CREAM 10GM"/>
    <x v="3"/>
    <n v="2"/>
    <x v="497"/>
    <x v="6"/>
    <n v="247"/>
    <x v="270"/>
    <x v="1"/>
  </r>
  <r>
    <x v="523"/>
    <x v="116"/>
    <s v="MOUTHMIST SPRAY COOL MINT"/>
    <x v="3"/>
    <n v="2"/>
    <x v="498"/>
    <x v="6"/>
    <n v="100"/>
    <x v="271"/>
    <x v="1"/>
  </r>
  <r>
    <x v="524"/>
    <x v="116"/>
    <s v="MOX 250MG CAP"/>
    <x v="3"/>
    <n v="2"/>
    <x v="28"/>
    <x v="32"/>
    <n v="16.399999999999999"/>
    <x v="272"/>
    <x v="0"/>
  </r>
  <r>
    <x v="525"/>
    <x v="117"/>
    <s v="MOXIMAX D EYE DROPS"/>
    <x v="3"/>
    <n v="5"/>
    <x v="499"/>
    <x v="11"/>
    <n v="2677.46"/>
    <x v="20"/>
    <x v="0"/>
  </r>
  <r>
    <x v="526"/>
    <x v="117"/>
    <s v="MOXIMAX EYE DROPS"/>
    <x v="3"/>
    <n v="2"/>
    <x v="500"/>
    <x v="4"/>
    <n v="740"/>
    <x v="273"/>
    <x v="0"/>
  </r>
  <r>
    <x v="527"/>
    <x v="117"/>
    <s v="MUPICIP OINT 10GM"/>
    <x v="3"/>
    <n v="2"/>
    <x v="501"/>
    <x v="6"/>
    <n v="213.04"/>
    <x v="75"/>
    <x v="1"/>
  </r>
  <r>
    <x v="528"/>
    <x v="118"/>
    <s v="MUPICIP OINTMENT 15GM"/>
    <x v="3"/>
    <n v="5"/>
    <x v="502"/>
    <x v="0"/>
    <n v="3881.79"/>
    <x v="75"/>
    <x v="0"/>
  </r>
  <r>
    <x v="529"/>
    <x v="118"/>
    <s v="MYCODERM C POWDER"/>
    <x v="3"/>
    <n v="2"/>
    <x v="503"/>
    <x v="6"/>
    <n v="130.65"/>
    <x v="274"/>
    <x v="1"/>
  </r>
  <r>
    <x v="530"/>
    <x v="118"/>
    <s v="MYCODERM POWDER 150GM"/>
    <x v="3"/>
    <n v="2"/>
    <x v="504"/>
    <x v="14"/>
    <n v="449.05"/>
    <x v="274"/>
    <x v="0"/>
  </r>
  <r>
    <x v="531"/>
    <x v="118"/>
    <s v="MYORIL 4MG CAP"/>
    <x v="3"/>
    <n v="5"/>
    <x v="505"/>
    <x v="12"/>
    <n v="290.24"/>
    <x v="275"/>
    <x v="0"/>
  </r>
  <r>
    <x v="532"/>
    <x v="119"/>
    <s v="MYSORE SANDAL GOLD SOAP 125GM"/>
    <x v="3"/>
    <n v="2"/>
    <x v="234"/>
    <x v="6"/>
    <n v="90"/>
    <x v="276"/>
    <x v="1"/>
  </r>
  <r>
    <x v="533"/>
    <x v="119"/>
    <s v="MYSORE SANDAL SOAP 125GM"/>
    <x v="3"/>
    <n v="2"/>
    <x v="506"/>
    <x v="32"/>
    <n v="402"/>
    <x v="276"/>
    <x v="0"/>
  </r>
  <r>
    <x v="534"/>
    <x v="119"/>
    <s v="MYSORE SANDAL SOAP 150GM"/>
    <x v="3"/>
    <n v="2"/>
    <x v="507"/>
    <x v="1"/>
    <n v="150"/>
    <x v="276"/>
    <x v="1"/>
  </r>
  <r>
    <x v="535"/>
    <x v="119"/>
    <s v="NASIVION CLASSIC ADULT NASAL SPRAY 10ML"/>
    <x v="3"/>
    <n v="5"/>
    <x v="508"/>
    <x v="40"/>
    <n v="2990.25"/>
    <x v="277"/>
    <x v="2"/>
  </r>
  <r>
    <x v="536"/>
    <x v="119"/>
    <s v="NASIVION CLASSIC ADULT NASAL SPRAY 15ML"/>
    <x v="3"/>
    <n v="2"/>
    <x v="509"/>
    <x v="4"/>
    <n v="599.54999999999995"/>
    <x v="277"/>
    <x v="0"/>
  </r>
  <r>
    <x v="537"/>
    <x v="120"/>
    <s v="NASIVION NASAL SPRAY 10ML"/>
    <x v="3"/>
    <n v="2"/>
    <x v="510"/>
    <x v="1"/>
    <n v="224.84"/>
    <x v="277"/>
    <x v="1"/>
  </r>
  <r>
    <x v="538"/>
    <x v="120"/>
    <s v="NEEM OIL 100ML"/>
    <x v="3"/>
    <n v="2"/>
    <x v="511"/>
    <x v="1"/>
    <n v="150"/>
    <x v="278"/>
    <x v="1"/>
  </r>
  <r>
    <x v="539"/>
    <x v="120"/>
    <s v="NEMUS SCAR GEL"/>
    <x v="3"/>
    <n v="2"/>
    <x v="512"/>
    <x v="1"/>
    <n v="1220"/>
    <x v="279"/>
    <x v="1"/>
  </r>
  <r>
    <x v="540"/>
    <x v="121"/>
    <s v="NEOSPORIN A OINT 10GM"/>
    <x v="3"/>
    <n v="5"/>
    <x v="513"/>
    <x v="30"/>
    <n v="2422.9499999999998"/>
    <x v="280"/>
    <x v="0"/>
  </r>
  <r>
    <x v="541"/>
    <x v="121"/>
    <s v="NEOSPORIN POWDER 10GM"/>
    <x v="3"/>
    <n v="2"/>
    <x v="514"/>
    <x v="1"/>
    <n v="214.3"/>
    <x v="280"/>
    <x v="1"/>
  </r>
  <r>
    <x v="542"/>
    <x v="121"/>
    <s v="NEUROBION FORTE RF INJ 2ML"/>
    <x v="4"/>
    <n v="5"/>
    <x v="515"/>
    <x v="7"/>
    <n v="288.32"/>
    <x v="281"/>
    <x v="0"/>
  </r>
  <r>
    <x v="543"/>
    <x v="121"/>
    <s v="NEUROBION FORTE TAB 30'S"/>
    <x v="0"/>
    <n v="7"/>
    <x v="516"/>
    <x v="80"/>
    <n v="84.54"/>
    <x v="282"/>
    <x v="2"/>
  </r>
  <r>
    <x v="544"/>
    <x v="122"/>
    <s v="NEXITO FORTE TAB"/>
    <x v="0"/>
    <n v="5"/>
    <x v="517"/>
    <x v="15"/>
    <n v="597"/>
    <x v="237"/>
    <x v="2"/>
  </r>
  <r>
    <x v="545"/>
    <x v="122"/>
    <s v="NEXITO PLUS TAB"/>
    <x v="0"/>
    <n v="5"/>
    <x v="518"/>
    <x v="12"/>
    <n v="136"/>
    <x v="237"/>
    <x v="0"/>
  </r>
  <r>
    <x v="546"/>
    <x v="122"/>
    <s v="NICARDIA RETARD 10MG TAB"/>
    <x v="0"/>
    <n v="5"/>
    <x v="519"/>
    <x v="15"/>
    <n v="112.96"/>
    <x v="86"/>
    <x v="2"/>
  </r>
  <r>
    <x v="547"/>
    <x v="122"/>
    <s v="NICIP TAB"/>
    <x v="0"/>
    <n v="7"/>
    <x v="520"/>
    <x v="81"/>
    <n v="282.43"/>
    <x v="75"/>
    <x v="2"/>
  </r>
  <r>
    <x v="548"/>
    <x v="122"/>
    <s v="NICIP COLD &amp; FLU TAB"/>
    <x v="0"/>
    <n v="10"/>
    <x v="521"/>
    <x v="82"/>
    <n v="4210.8"/>
    <x v="75"/>
    <x v="2"/>
  </r>
  <r>
    <x v="549"/>
    <x v="123"/>
    <s v="NICIP PLUS TAB 10'S"/>
    <x v="0"/>
    <n v="10"/>
    <x v="522"/>
    <x v="83"/>
    <n v="7161"/>
    <x v="75"/>
    <x v="2"/>
  </r>
  <r>
    <x v="550"/>
    <x v="123"/>
    <s v="NIKORAN 5MG TAB"/>
    <x v="0"/>
    <n v="5"/>
    <x v="523"/>
    <x v="11"/>
    <n v="480.26"/>
    <x v="283"/>
    <x v="0"/>
  </r>
  <r>
    <x v="551"/>
    <x v="123"/>
    <s v="NILAC A GEL"/>
    <x v="3"/>
    <n v="2"/>
    <x v="524"/>
    <x v="6"/>
    <n v="281"/>
    <x v="78"/>
    <x v="1"/>
  </r>
  <r>
    <x v="552"/>
    <x v="124"/>
    <s v="NISARGALAYA ROOT BRAHMI OIL"/>
    <x v="3"/>
    <n v="2"/>
    <x v="525"/>
    <x v="1"/>
    <n v="798"/>
    <x v="284"/>
    <x v="1"/>
  </r>
  <r>
    <x v="553"/>
    <x v="124"/>
    <s v="NIVEA BODY LOTION COCOA NURISH 400ML"/>
    <x v="3"/>
    <n v="2"/>
    <x v="526"/>
    <x v="1"/>
    <n v="1130"/>
    <x v="285"/>
    <x v="1"/>
  </r>
  <r>
    <x v="554"/>
    <x v="124"/>
    <s v="NIVEA CREAM 100GM"/>
    <x v="3"/>
    <n v="2"/>
    <x v="527"/>
    <x v="1"/>
    <n v="550"/>
    <x v="285"/>
    <x v="1"/>
  </r>
  <r>
    <x v="555"/>
    <x v="124"/>
    <s v="NIVEA FOR MEN OIL CONTROL FACE WASH LOTION 100ML"/>
    <x v="3"/>
    <n v="2"/>
    <x v="461"/>
    <x v="14"/>
    <n v="767"/>
    <x v="285"/>
    <x v="0"/>
  </r>
  <r>
    <x v="556"/>
    <x v="125"/>
    <s v="NIVEA LIP BLAM"/>
    <x v="3"/>
    <n v="2"/>
    <x v="528"/>
    <x v="1"/>
    <n v="520"/>
    <x v="145"/>
    <x v="1"/>
  </r>
  <r>
    <x v="557"/>
    <x v="125"/>
    <s v="NIVEA MEN ALL IN ONE OIL CONTROL FACE WASH 65GM"/>
    <x v="3"/>
    <n v="2"/>
    <x v="529"/>
    <x v="6"/>
    <n v="249"/>
    <x v="285"/>
    <x v="1"/>
  </r>
  <r>
    <x v="558"/>
    <x v="125"/>
    <s v="NIVEA MEN DARK SPOT REDUCTION FACE WASH 100GM"/>
    <x v="3"/>
    <n v="2"/>
    <x v="530"/>
    <x v="32"/>
    <n v="1554"/>
    <x v="285"/>
    <x v="0"/>
  </r>
  <r>
    <x v="559"/>
    <x v="125"/>
    <s v="NIVEA SOFT CREAM 100GM"/>
    <x v="3"/>
    <n v="2"/>
    <x v="531"/>
    <x v="6"/>
    <n v="290"/>
    <x v="285"/>
    <x v="1"/>
  </r>
  <r>
    <x v="560"/>
    <x v="125"/>
    <s v="NIVEA SOFT CREAM 200GM"/>
    <x v="3"/>
    <n v="2"/>
    <x v="532"/>
    <x v="14"/>
    <n v="1249"/>
    <x v="285"/>
    <x v="0"/>
  </r>
  <r>
    <x v="561"/>
    <x v="126"/>
    <s v="NODARD PLUS TAB"/>
    <x v="0"/>
    <n v="10"/>
    <x v="533"/>
    <x v="29"/>
    <n v="1155"/>
    <x v="75"/>
    <x v="2"/>
  </r>
  <r>
    <x v="562"/>
    <x v="126"/>
    <s v="NOMARKS ACNE PIMPLE CREAM"/>
    <x v="3"/>
    <n v="2"/>
    <x v="534"/>
    <x v="6"/>
    <n v="160"/>
    <x v="135"/>
    <x v="1"/>
  </r>
  <r>
    <x v="563"/>
    <x v="126"/>
    <s v="NOMARKS SKIN CREAM 25GM"/>
    <x v="3"/>
    <n v="2"/>
    <x v="535"/>
    <x v="1"/>
    <n v="300"/>
    <x v="135"/>
    <x v="1"/>
  </r>
  <r>
    <x v="564"/>
    <x v="127"/>
    <s v="NOTIX GREEN PET SOAP 75GM"/>
    <x v="3"/>
    <n v="5"/>
    <x v="536"/>
    <x v="25"/>
    <n v="1140"/>
    <x v="286"/>
    <x v="0"/>
  </r>
  <r>
    <x v="565"/>
    <x v="127"/>
    <s v="NOTIX PS SHAMPOO"/>
    <x v="3"/>
    <n v="2"/>
    <x v="537"/>
    <x v="6"/>
    <n v="310"/>
    <x v="287"/>
    <x v="1"/>
  </r>
  <r>
    <x v="566"/>
    <x v="127"/>
    <s v="NOTIX SOAP"/>
    <x v="3"/>
    <n v="5"/>
    <x v="538"/>
    <x v="25"/>
    <n v="1140"/>
    <x v="286"/>
    <x v="0"/>
  </r>
  <r>
    <x v="567"/>
    <x v="127"/>
    <s v="NOVALE BAR 75GM"/>
    <x v="3"/>
    <n v="2"/>
    <x v="539"/>
    <x v="27"/>
    <n v="726"/>
    <x v="151"/>
    <x v="0"/>
  </r>
  <r>
    <x v="568"/>
    <x v="128"/>
    <s v="NOVOPEN 4 PEN"/>
    <x v="3"/>
    <n v="2"/>
    <x v="540"/>
    <x v="6"/>
    <n v="1405.31"/>
    <x v="288"/>
    <x v="1"/>
  </r>
  <r>
    <x v="569"/>
    <x v="128"/>
    <s v="NS 0.9% INF 100ML"/>
    <x v="3"/>
    <n v="2"/>
    <x v="541"/>
    <x v="1"/>
    <n v="44"/>
    <x v="289"/>
    <x v="1"/>
  </r>
  <r>
    <x v="570"/>
    <x v="128"/>
    <s v="NUCORT M 4MG TAB"/>
    <x v="0"/>
    <n v="5"/>
    <x v="542"/>
    <x v="12"/>
    <n v="62.65"/>
    <x v="10"/>
    <x v="0"/>
  </r>
  <r>
    <x v="571"/>
    <x v="128"/>
    <s v="NYCIL SANDAL POWDER 150GM"/>
    <x v="3"/>
    <n v="2"/>
    <x v="543"/>
    <x v="6"/>
    <n v="149"/>
    <x v="179"/>
    <x v="1"/>
  </r>
  <r>
    <x v="572"/>
    <x v="128"/>
    <s v="ODOMOS CREAM 100GM"/>
    <x v="3"/>
    <n v="2"/>
    <x v="544"/>
    <x v="1"/>
    <n v="230"/>
    <x v="118"/>
    <x v="1"/>
  </r>
  <r>
    <x v="573"/>
    <x v="129"/>
    <s v="OFLOXA E/E DROPS"/>
    <x v="3"/>
    <n v="2"/>
    <x v="545"/>
    <x v="27"/>
    <n v="160"/>
    <x v="290"/>
    <x v="0"/>
  </r>
  <r>
    <x v="574"/>
    <x v="129"/>
    <s v="OFLOXA D E/E DROPS"/>
    <x v="3"/>
    <n v="2"/>
    <x v="545"/>
    <x v="1"/>
    <n v="80"/>
    <x v="291"/>
    <x v="1"/>
  </r>
  <r>
    <x v="575"/>
    <x v="129"/>
    <s v="OKACET TAB"/>
    <x v="0"/>
    <n v="10"/>
    <x v="546"/>
    <x v="84"/>
    <n v="3414.18"/>
    <x v="75"/>
    <x v="2"/>
  </r>
  <r>
    <x v="576"/>
    <x v="130"/>
    <s v="OKACET L TAB"/>
    <x v="0"/>
    <n v="10"/>
    <x v="547"/>
    <x v="85"/>
    <n v="5315.88"/>
    <x v="75"/>
    <x v="2"/>
  </r>
  <r>
    <x v="577"/>
    <x v="130"/>
    <s v="OLAN 2.5MG TAB"/>
    <x v="0"/>
    <n v="10"/>
    <x v="548"/>
    <x v="86"/>
    <n v="1444"/>
    <x v="144"/>
    <x v="2"/>
  </r>
  <r>
    <x v="578"/>
    <x v="130"/>
    <s v="OLESOFT LITEMOIST GEL 50GM"/>
    <x v="3"/>
    <n v="2"/>
    <x v="549"/>
    <x v="1"/>
    <n v="1046"/>
    <x v="292"/>
    <x v="1"/>
  </r>
  <r>
    <x v="579"/>
    <x v="130"/>
    <s v="OLOPAT EYE DROPS"/>
    <x v="3"/>
    <n v="2"/>
    <x v="550"/>
    <x v="6"/>
    <n v="204.38"/>
    <x v="293"/>
    <x v="1"/>
  </r>
  <r>
    <x v="580"/>
    <x v="131"/>
    <s v="OMEE 20MG CAP 20'S"/>
    <x v="3"/>
    <n v="5"/>
    <x v="551"/>
    <x v="11"/>
    <n v="64.3"/>
    <x v="294"/>
    <x v="0"/>
  </r>
  <r>
    <x v="581"/>
    <x v="131"/>
    <s v="OMEZ 20MG CAP"/>
    <x v="3"/>
    <n v="2"/>
    <x v="552"/>
    <x v="32"/>
    <n v="26.12"/>
    <x v="295"/>
    <x v="0"/>
  </r>
  <r>
    <x v="582"/>
    <x v="131"/>
    <s v="OMNI GEL 30GM"/>
    <x v="3"/>
    <n v="2"/>
    <x v="553"/>
    <x v="6"/>
    <n v="146.4"/>
    <x v="75"/>
    <x v="1"/>
  </r>
  <r>
    <x v="583"/>
    <x v="132"/>
    <s v="OMNIGEL GEL"/>
    <x v="3"/>
    <n v="2"/>
    <x v="554"/>
    <x v="1"/>
    <n v="394"/>
    <x v="89"/>
    <x v="1"/>
  </r>
  <r>
    <x v="584"/>
    <x v="132"/>
    <s v="OPHTHACARE EYE DROPS"/>
    <x v="3"/>
    <n v="2"/>
    <x v="555"/>
    <x v="6"/>
    <n v="90"/>
    <x v="197"/>
    <x v="1"/>
  </r>
  <r>
    <x v="585"/>
    <x v="132"/>
    <s v="OPTIBEX TEAR DROPS"/>
    <x v="3"/>
    <n v="5"/>
    <x v="556"/>
    <x v="53"/>
    <n v="3648.85"/>
    <x v="296"/>
    <x v="2"/>
  </r>
  <r>
    <x v="586"/>
    <x v="132"/>
    <s v="ORASORE GEL 100GM"/>
    <x v="3"/>
    <n v="2"/>
    <x v="557"/>
    <x v="6"/>
    <n v="85"/>
    <x v="297"/>
    <x v="1"/>
  </r>
  <r>
    <x v="587"/>
    <x v="133"/>
    <s v="ORNI O TAB"/>
    <x v="0"/>
    <n v="5"/>
    <x v="558"/>
    <x v="15"/>
    <n v="408.39"/>
    <x v="298"/>
    <x v="2"/>
  </r>
  <r>
    <x v="588"/>
    <x v="133"/>
    <s v="OROFER XT TAB 15'S"/>
    <x v="0"/>
    <n v="5"/>
    <x v="559"/>
    <x v="0"/>
    <n v="349.25"/>
    <x v="299"/>
    <x v="0"/>
  </r>
  <r>
    <x v="589"/>
    <x v="133"/>
    <s v="ORS L ORANGE POWDER 21GM"/>
    <x v="3"/>
    <n v="5"/>
    <x v="560"/>
    <x v="52"/>
    <n v="501.86"/>
    <x v="75"/>
    <x v="2"/>
  </r>
  <r>
    <x v="590"/>
    <x v="133"/>
    <s v="ORS ORANGE LIQUID"/>
    <x v="3"/>
    <n v="2"/>
    <x v="561"/>
    <x v="4"/>
    <n v="160.19999999999999"/>
    <x v="75"/>
    <x v="0"/>
  </r>
  <r>
    <x v="591"/>
    <x v="133"/>
    <s v="ORS WHO RTD APPLE"/>
    <x v="3"/>
    <n v="5"/>
    <x v="561"/>
    <x v="34"/>
    <n v="512.64"/>
    <x v="300"/>
    <x v="0"/>
  </r>
  <r>
    <x v="592"/>
    <x v="134"/>
    <s v="ORS WHO RTD ORANGE"/>
    <x v="3"/>
    <n v="2"/>
    <x v="561"/>
    <x v="1"/>
    <n v="64.08"/>
    <x v="300"/>
    <x v="1"/>
  </r>
  <r>
    <x v="593"/>
    <x v="134"/>
    <s v="OTIFLOX EAR DROPS"/>
    <x v="3"/>
    <n v="2"/>
    <x v="562"/>
    <x v="1"/>
    <n v="234.92"/>
    <x v="301"/>
    <x v="1"/>
  </r>
  <r>
    <x v="594"/>
    <x v="135"/>
    <s v="OTOCOL AC EAR DROPS"/>
    <x v="3"/>
    <n v="2"/>
    <x v="563"/>
    <x v="1"/>
    <n v="100"/>
    <x v="302"/>
    <x v="1"/>
  </r>
  <r>
    <x v="595"/>
    <x v="135"/>
    <s v="OTOGESIC EAR DROPS 10ML"/>
    <x v="3"/>
    <n v="2"/>
    <x v="564"/>
    <x v="1"/>
    <n v="399"/>
    <x v="303"/>
    <x v="1"/>
  </r>
  <r>
    <x v="596"/>
    <x v="135"/>
    <s v="OTRIVIN ADULT OXY FAST RELIEF 10ML"/>
    <x v="3"/>
    <n v="2"/>
    <x v="565"/>
    <x v="1"/>
    <n v="257.68"/>
    <x v="14"/>
    <x v="1"/>
  </r>
  <r>
    <x v="597"/>
    <x v="135"/>
    <s v="OTRIVIN BREATH CLEAN DAILY WASH"/>
    <x v="3"/>
    <n v="2"/>
    <x v="439"/>
    <x v="6"/>
    <n v="350"/>
    <x v="304"/>
    <x v="1"/>
  </r>
  <r>
    <x v="598"/>
    <x v="136"/>
    <s v="OTRIVIN PAED NASAL SPRAY"/>
    <x v="3"/>
    <n v="2"/>
    <x v="566"/>
    <x v="6"/>
    <n v="47.71"/>
    <x v="304"/>
    <x v="1"/>
  </r>
  <r>
    <x v="599"/>
    <x v="136"/>
    <s v="OXRA S 10/100MG TAB 15'S"/>
    <x v="0"/>
    <n v="10"/>
    <x v="567"/>
    <x v="62"/>
    <n v="6420"/>
    <x v="44"/>
    <x v="2"/>
  </r>
  <r>
    <x v="600"/>
    <x v="137"/>
    <s v="OXRAMET S XR 1000MG TAB 7'S"/>
    <x v="0"/>
    <n v="10"/>
    <x v="568"/>
    <x v="87"/>
    <n v="3004.28"/>
    <x v="66"/>
    <x v="2"/>
  </r>
  <r>
    <x v="601"/>
    <x v="137"/>
    <s v="OXRAMET XR 10MG/500MG"/>
    <x v="3"/>
    <n v="7"/>
    <x v="569"/>
    <x v="47"/>
    <n v="1249.99"/>
    <x v="305"/>
    <x v="2"/>
  </r>
  <r>
    <x v="602"/>
    <x v="137"/>
    <s v="OXYSPAS 2.5MG TAB"/>
    <x v="0"/>
    <n v="5"/>
    <x v="570"/>
    <x v="12"/>
    <n v="134.25"/>
    <x v="306"/>
    <x v="0"/>
  </r>
  <r>
    <x v="603"/>
    <x v="138"/>
    <s v="OXYSPAS 5MG TAB"/>
    <x v="0"/>
    <n v="5"/>
    <x v="571"/>
    <x v="12"/>
    <n v="248.44"/>
    <x v="306"/>
    <x v="0"/>
  </r>
  <r>
    <x v="604"/>
    <x v="138"/>
    <s v="PAINFREE AP TAB"/>
    <x v="0"/>
    <n v="5"/>
    <x v="572"/>
    <x v="15"/>
    <n v="144"/>
    <x v="307"/>
    <x v="2"/>
  </r>
  <r>
    <x v="605"/>
    <x v="138"/>
    <s v="PAN 40MG TAB"/>
    <x v="0"/>
    <n v="5"/>
    <x v="573"/>
    <x v="88"/>
    <n v="599.54"/>
    <x v="92"/>
    <x v="2"/>
  </r>
  <r>
    <x v="606"/>
    <x v="138"/>
    <s v="PAN D CAP 15'S"/>
    <x v="3"/>
    <n v="7"/>
    <x v="574"/>
    <x v="23"/>
    <n v="1456.25"/>
    <x v="92"/>
    <x v="2"/>
  </r>
  <r>
    <x v="607"/>
    <x v="139"/>
    <s v="PANDIFF IV INJECTION"/>
    <x v="4"/>
    <n v="2"/>
    <x v="575"/>
    <x v="1"/>
    <n v="113"/>
    <x v="308"/>
    <x v="1"/>
  </r>
  <r>
    <x v="608"/>
    <x v="139"/>
    <s v="PANGRAF 0.5MG CAP"/>
    <x v="3"/>
    <n v="10"/>
    <x v="576"/>
    <x v="38"/>
    <n v="2169.3000000000002"/>
    <x v="309"/>
    <x v="2"/>
  </r>
  <r>
    <x v="609"/>
    <x v="139"/>
    <s v="PANGRAF 1MG CAP"/>
    <x v="3"/>
    <n v="10"/>
    <x v="577"/>
    <x v="38"/>
    <n v="4339.1000000000004"/>
    <x v="309"/>
    <x v="2"/>
  </r>
  <r>
    <x v="610"/>
    <x v="139"/>
    <s v="PANTAB 40MG TAB"/>
    <x v="0"/>
    <n v="5"/>
    <x v="578"/>
    <x v="9"/>
    <n v="573.76"/>
    <x v="310"/>
    <x v="2"/>
  </r>
  <r>
    <x v="611"/>
    <x v="139"/>
    <s v="PANTENE CONDITIONER 200ML"/>
    <x v="3"/>
    <n v="2"/>
    <x v="579"/>
    <x v="6"/>
    <n v="235"/>
    <x v="311"/>
    <x v="1"/>
  </r>
  <r>
    <x v="612"/>
    <x v="140"/>
    <s v="PANTOP D CAP 15'S"/>
    <x v="3"/>
    <n v="5"/>
    <x v="580"/>
    <x v="0"/>
    <n v="180.5"/>
    <x v="32"/>
    <x v="0"/>
  </r>
  <r>
    <x v="613"/>
    <x v="140"/>
    <s v="PANT OSEC D TAB"/>
    <x v="0"/>
    <n v="5"/>
    <x v="581"/>
    <x v="12"/>
    <n v="163.9"/>
    <x v="75"/>
    <x v="0"/>
  </r>
  <r>
    <x v="614"/>
    <x v="140"/>
    <s v="PARACHUTE HAIR OIL 100ML"/>
    <x v="3"/>
    <n v="2"/>
    <x v="582"/>
    <x v="6"/>
    <n v="54"/>
    <x v="312"/>
    <x v="1"/>
  </r>
  <r>
    <x v="615"/>
    <x v="141"/>
    <s v="PATANJALI DANT KANTI ACTIVE PASTE 80GM"/>
    <x v="3"/>
    <n v="2"/>
    <x v="583"/>
    <x v="6"/>
    <n v="56"/>
    <x v="313"/>
    <x v="1"/>
  </r>
  <r>
    <x v="616"/>
    <x v="141"/>
    <s v="PATANJALI HONEY 250GM"/>
    <x v="3"/>
    <n v="2"/>
    <x v="584"/>
    <x v="1"/>
    <n v="220"/>
    <x v="313"/>
    <x v="1"/>
  </r>
  <r>
    <x v="617"/>
    <x v="141"/>
    <s v="PATANJALI HONEY 500GM"/>
    <x v="3"/>
    <n v="2"/>
    <x v="585"/>
    <x v="6"/>
    <n v="210"/>
    <x v="313"/>
    <x v="1"/>
  </r>
  <r>
    <x v="618"/>
    <x v="141"/>
    <s v="PEARS REGULAR SOAP 125GM"/>
    <x v="3"/>
    <n v="2"/>
    <x v="232"/>
    <x v="1"/>
    <n v="200"/>
    <x v="95"/>
    <x v="1"/>
  </r>
  <r>
    <x v="619"/>
    <x v="142"/>
    <s v="PEER DIGITAL THERMOMETER"/>
    <x v="3"/>
    <n v="2"/>
    <x v="586"/>
    <x v="6"/>
    <n v="221.57"/>
    <x v="14"/>
    <x v="1"/>
  </r>
  <r>
    <x v="620"/>
    <x v="142"/>
    <s v="PENTAB 40MG TAB"/>
    <x v="0"/>
    <n v="10"/>
    <x v="587"/>
    <x v="42"/>
    <n v="1434.39"/>
    <x v="314"/>
    <x v="2"/>
  </r>
  <r>
    <x v="621"/>
    <x v="142"/>
    <s v="PENTALOC 40MG TAB"/>
    <x v="0"/>
    <n v="5"/>
    <x v="588"/>
    <x v="8"/>
    <n v="421.31"/>
    <x v="31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197B23-4027-4177-ADC6-5A3FF935251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5:G30" firstHeaderRow="1" firstDataRow="2" firstDataCol="1" rowPageCount="1" colPageCount="1"/>
  <pivotFields count="10">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axis="axisCol" showAll="0">
      <items count="6">
        <item x="4"/>
        <item x="3"/>
        <item x="1"/>
        <item x="0"/>
        <item x="2"/>
        <item t="default"/>
      </items>
    </pivotField>
    <pivotField dataField="1" showAll="0"/>
    <pivotField showAll="0"/>
    <pivotField showAll="0"/>
    <pivotField showAll="0"/>
    <pivotField axis="axisPage" showAll="0">
      <items count="317">
        <item x="192"/>
        <item x="194"/>
        <item x="196"/>
        <item x="218"/>
        <item x="220"/>
        <item x="215"/>
        <item x="219"/>
        <item x="211"/>
        <item x="156"/>
        <item x="262"/>
        <item x="24"/>
        <item x="236"/>
        <item x="169"/>
        <item x="137"/>
        <item x="111"/>
        <item x="74"/>
        <item x="164"/>
        <item x="200"/>
        <item x="288"/>
        <item x="160"/>
        <item x="308"/>
        <item x="166"/>
        <item x="64"/>
        <item x="13"/>
        <item x="255"/>
        <item x="293"/>
        <item x="314"/>
        <item x="21"/>
        <item x="46"/>
        <item x="92"/>
        <item x="0"/>
        <item x="162"/>
        <item x="292"/>
        <item x="223"/>
        <item x="7"/>
        <item x="20"/>
        <item x="245"/>
        <item x="26"/>
        <item x="201"/>
        <item x="32"/>
        <item x="271"/>
        <item x="61"/>
        <item x="110"/>
        <item x="25"/>
        <item x="284"/>
        <item x="48"/>
        <item x="49"/>
        <item x="55"/>
        <item x="54"/>
        <item x="58"/>
        <item x="193"/>
        <item x="175"/>
        <item x="62"/>
        <item x="68"/>
        <item x="69"/>
        <item x="239"/>
        <item x="99"/>
        <item x="216"/>
        <item x="87"/>
        <item x="315"/>
        <item x="119"/>
        <item x="301"/>
        <item x="188"/>
        <item x="89"/>
        <item x="210"/>
        <item x="75"/>
        <item x="37"/>
        <item x="19"/>
        <item x="157"/>
        <item x="306"/>
        <item x="39"/>
        <item x="254"/>
        <item x="101"/>
        <item x="102"/>
        <item x="107"/>
        <item x="148"/>
        <item x="261"/>
        <item x="93"/>
        <item x="98"/>
        <item x="28"/>
        <item x="118"/>
        <item x="289"/>
        <item x="125"/>
        <item x="124"/>
        <item x="168"/>
        <item x="235"/>
        <item x="295"/>
        <item x="152"/>
        <item x="38"/>
        <item x="97"/>
        <item x="142"/>
        <item x="149"/>
        <item x="128"/>
        <item x="184"/>
        <item x="264"/>
        <item x="158"/>
        <item x="299"/>
        <item x="63"/>
        <item x="161"/>
        <item x="165"/>
        <item x="212"/>
        <item x="274"/>
        <item x="154"/>
        <item x="225"/>
        <item x="187"/>
        <item x="132"/>
        <item x="185"/>
        <item x="72"/>
        <item x="83"/>
        <item x="170"/>
        <item x="242"/>
        <item x="208"/>
        <item x="14"/>
        <item x="178"/>
        <item x="202"/>
        <item x="115"/>
        <item x="298"/>
        <item x="40"/>
        <item x="123"/>
        <item x="159"/>
        <item x="112"/>
        <item x="79"/>
        <item x="56"/>
        <item x="100"/>
        <item x="280"/>
        <item x="42"/>
        <item x="230"/>
        <item x="207"/>
        <item x="189"/>
        <item x="35"/>
        <item x="80"/>
        <item x="36"/>
        <item x="176"/>
        <item x="186"/>
        <item x="88"/>
        <item x="41"/>
        <item x="94"/>
        <item x="126"/>
        <item x="191"/>
        <item x="238"/>
        <item x="179"/>
        <item x="234"/>
        <item x="197"/>
        <item x="240"/>
        <item x="198"/>
        <item x="71"/>
        <item x="95"/>
        <item x="140"/>
        <item x="145"/>
        <item x="260"/>
        <item x="199"/>
        <item x="3"/>
        <item x="114"/>
        <item x="96"/>
        <item x="248"/>
        <item x="120"/>
        <item x="246"/>
        <item x="1"/>
        <item x="195"/>
        <item x="269"/>
        <item x="76"/>
        <item x="233"/>
        <item x="11"/>
        <item x="73"/>
        <item x="256"/>
        <item x="86"/>
        <item x="204"/>
        <item x="177"/>
        <item x="217"/>
        <item x="67"/>
        <item x="300"/>
        <item x="303"/>
        <item x="121"/>
        <item x="45"/>
        <item x="276"/>
        <item x="226"/>
        <item x="82"/>
        <item x="77"/>
        <item x="91"/>
        <item x="244"/>
        <item x="241"/>
        <item x="243"/>
        <item x="249"/>
        <item x="250"/>
        <item x="2"/>
        <item x="129"/>
        <item x="181"/>
        <item x="180"/>
        <item x="53"/>
        <item x="259"/>
        <item x="222"/>
        <item x="258"/>
        <item x="257"/>
        <item x="52"/>
        <item x="81"/>
        <item x="10"/>
        <item x="22"/>
        <item x="312"/>
        <item x="263"/>
        <item x="104"/>
        <item x="282"/>
        <item x="277"/>
        <item x="105"/>
        <item x="281"/>
        <item x="47"/>
        <item x="23"/>
        <item x="141"/>
        <item x="78"/>
        <item x="70"/>
        <item x="253"/>
        <item x="143"/>
        <item x="144"/>
        <item x="133"/>
        <item x="138"/>
        <item x="9"/>
        <item x="206"/>
        <item x="213"/>
        <item x="214"/>
        <item x="251"/>
        <item x="229"/>
        <item x="174"/>
        <item x="252"/>
        <item x="285"/>
        <item x="304"/>
        <item x="294"/>
        <item x="31"/>
        <item x="296"/>
        <item x="136"/>
        <item x="135"/>
        <item x="151"/>
        <item x="309"/>
        <item x="227"/>
        <item x="116"/>
        <item x="209"/>
        <item x="313"/>
        <item x="286"/>
        <item x="59"/>
        <item x="171"/>
        <item x="266"/>
        <item x="57"/>
        <item x="108"/>
        <item x="163"/>
        <item x="307"/>
        <item x="106"/>
        <item x="311"/>
        <item x="173"/>
        <item x="287"/>
        <item x="4"/>
        <item x="15"/>
        <item x="272"/>
        <item x="85"/>
        <item x="131"/>
        <item x="130"/>
        <item x="139"/>
        <item x="310"/>
        <item x="270"/>
        <item x="279"/>
        <item x="50"/>
        <item x="232"/>
        <item x="231"/>
        <item x="167"/>
        <item x="275"/>
        <item x="122"/>
        <item x="43"/>
        <item x="34"/>
        <item x="109"/>
        <item x="221"/>
        <item x="228"/>
        <item x="30"/>
        <item x="66"/>
        <item x="182"/>
        <item x="44"/>
        <item x="172"/>
        <item x="265"/>
        <item x="27"/>
        <item x="268"/>
        <item x="267"/>
        <item x="237"/>
        <item x="155"/>
        <item x="203"/>
        <item x="51"/>
        <item x="278"/>
        <item x="290"/>
        <item x="302"/>
        <item x="113"/>
        <item x="291"/>
        <item x="103"/>
        <item x="283"/>
        <item x="16"/>
        <item x="84"/>
        <item x="150"/>
        <item x="33"/>
        <item x="6"/>
        <item x="247"/>
        <item x="127"/>
        <item x="224"/>
        <item x="205"/>
        <item x="65"/>
        <item x="153"/>
        <item x="29"/>
        <item x="183"/>
        <item x="117"/>
        <item x="146"/>
        <item x="147"/>
        <item x="17"/>
        <item x="12"/>
        <item x="60"/>
        <item x="297"/>
        <item x="5"/>
        <item x="305"/>
        <item x="8"/>
        <item x="273"/>
        <item x="190"/>
        <item x="90"/>
        <item x="134"/>
        <item x="18"/>
        <item t="default"/>
      </items>
    </pivotField>
    <pivotField axis="axisRow" showAll="0">
      <items count="4">
        <item x="2"/>
        <item x="0"/>
        <item x="1"/>
        <item t="default"/>
      </items>
    </pivotField>
  </pivotFields>
  <rowFields count="1">
    <field x="9"/>
  </rowFields>
  <rowItems count="4">
    <i>
      <x/>
    </i>
    <i>
      <x v="1"/>
    </i>
    <i>
      <x v="2"/>
    </i>
    <i t="grand">
      <x/>
    </i>
  </rowItems>
  <colFields count="1">
    <field x="3"/>
  </colFields>
  <colItems count="6">
    <i>
      <x/>
    </i>
    <i>
      <x v="1"/>
    </i>
    <i>
      <x v="2"/>
    </i>
    <i>
      <x v="3"/>
    </i>
    <i>
      <x v="4"/>
    </i>
    <i t="grand">
      <x/>
    </i>
  </colItems>
  <pageFields count="1">
    <pageField fld="8" hier="-1"/>
  </pageFields>
  <dataFields count="1">
    <dataField name="Sum of DISCOUNT (%)" fld="4" baseField="0" baseItem="0"/>
  </dataFields>
  <chartFormats count="10">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B32E6-1B0F-41C8-9D54-82E4AC6EB51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M7" firstHeaderRow="1" firstDataRow="3" firstDataCol="1"/>
  <pivotFields count="10">
    <pivotField showAll="0">
      <items count="6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t="default"/>
      </items>
    </pivotField>
    <pivotField numFmtId="14" showAll="0"/>
    <pivotField showAll="0"/>
    <pivotField axis="axisCol" showAll="0">
      <items count="6">
        <item x="4"/>
        <item x="3"/>
        <item x="1"/>
        <item x="0"/>
        <item x="2"/>
        <item t="default"/>
      </items>
    </pivotField>
    <pivotField showAll="0"/>
    <pivotField showAll="0">
      <items count="590">
        <item x="281"/>
        <item x="109"/>
        <item x="118"/>
        <item x="466"/>
        <item x="212"/>
        <item x="415"/>
        <item x="516"/>
        <item x="311"/>
        <item x="83"/>
        <item x="242"/>
        <item x="470"/>
        <item x="206"/>
        <item x="401"/>
        <item x="400"/>
        <item x="294"/>
        <item x="399"/>
        <item x="81"/>
        <item x="199"/>
        <item x="64"/>
        <item x="49"/>
        <item x="338"/>
        <item x="334"/>
        <item x="50"/>
        <item x="232"/>
        <item x="229"/>
        <item x="498"/>
        <item x="364"/>
        <item x="121"/>
        <item x="453"/>
        <item x="236"/>
        <item x="40"/>
        <item x="201"/>
        <item x="166"/>
        <item x="119"/>
        <item x="514"/>
        <item x="366"/>
        <item x="88"/>
        <item x="133"/>
        <item x="298"/>
        <item x="293"/>
        <item x="302"/>
        <item x="405"/>
        <item x="210"/>
        <item x="237"/>
        <item x="266"/>
        <item x="16"/>
        <item x="578"/>
        <item x="587"/>
        <item x="328"/>
        <item x="57"/>
        <item x="584"/>
        <item x="15"/>
        <item x="303"/>
        <item x="510"/>
        <item x="544"/>
        <item x="244"/>
        <item x="452"/>
        <item x="253"/>
        <item x="562"/>
        <item x="387"/>
        <item x="254"/>
        <item x="508"/>
        <item x="509"/>
        <item x="580"/>
        <item x="285"/>
        <item x="573"/>
        <item x="171"/>
        <item x="335"/>
        <item x="0"/>
        <item x="462"/>
        <item x="26"/>
        <item x="367"/>
        <item x="301"/>
        <item x="14"/>
        <item x="319"/>
        <item x="493"/>
        <item x="204"/>
        <item x="205"/>
        <item x="342"/>
        <item x="162"/>
        <item x="565"/>
        <item x="27"/>
        <item x="5"/>
        <item x="92"/>
        <item x="11"/>
        <item x="182"/>
        <item x="91"/>
        <item x="570"/>
        <item x="518"/>
        <item x="558"/>
        <item x="465"/>
        <item x="503"/>
        <item x="38"/>
        <item x="290"/>
        <item x="135"/>
        <item x="398"/>
        <item x="396"/>
        <item x="163"/>
        <item x="397"/>
        <item x="424"/>
        <item x="382"/>
        <item x="172"/>
        <item x="344"/>
        <item x="270"/>
        <item x="556"/>
        <item x="448"/>
        <item x="499"/>
        <item x="123"/>
        <item x="313"/>
        <item x="45"/>
        <item x="485"/>
        <item x="113"/>
        <item x="124"/>
        <item x="12"/>
        <item x="540"/>
        <item x="345"/>
        <item x="404"/>
        <item x="513"/>
        <item x="56"/>
        <item x="74"/>
        <item x="553"/>
        <item x="87"/>
        <item x="500"/>
        <item x="51"/>
        <item x="543"/>
        <item x="197"/>
        <item x="235"/>
        <item x="417"/>
        <item x="339"/>
        <item x="154"/>
        <item x="408"/>
        <item x="312"/>
        <item x="368"/>
        <item x="207"/>
        <item x="153"/>
        <item x="337"/>
        <item x="173"/>
        <item x="535"/>
        <item x="41"/>
        <item x="323"/>
        <item x="378"/>
        <item x="504"/>
        <item x="55"/>
        <item x="326"/>
        <item x="422"/>
        <item x="343"/>
        <item x="108"/>
        <item x="9"/>
        <item x="257"/>
        <item x="581"/>
        <item x="426"/>
        <item x="284"/>
        <item x="574"/>
        <item x="96"/>
        <item x="361"/>
        <item x="534"/>
        <item x="286"/>
        <item x="75"/>
        <item x="104"/>
        <item x="54"/>
        <item x="472"/>
        <item x="35"/>
        <item x="97"/>
        <item x="3"/>
        <item x="156"/>
        <item x="297"/>
        <item x="330"/>
        <item x="151"/>
        <item x="139"/>
        <item x="569"/>
        <item x="86"/>
        <item x="226"/>
        <item x="122"/>
        <item x="6"/>
        <item x="278"/>
        <item x="369"/>
        <item x="432"/>
        <item x="441"/>
        <item x="186"/>
        <item x="481"/>
        <item x="300"/>
        <item x="209"/>
        <item x="491"/>
        <item x="380"/>
        <item x="58"/>
        <item x="539"/>
        <item x="120"/>
        <item x="174"/>
        <item x="220"/>
        <item x="107"/>
        <item x="95"/>
        <item x="316"/>
        <item x="141"/>
        <item x="189"/>
        <item x="347"/>
        <item x="517"/>
        <item x="178"/>
        <item x="177"/>
        <item x="176"/>
        <item x="157"/>
        <item x="318"/>
        <item x="554"/>
        <item x="564"/>
        <item x="25"/>
        <item x="299"/>
        <item x="340"/>
        <item x="332"/>
        <item x="305"/>
        <item x="546"/>
        <item x="467"/>
        <item x="192"/>
        <item x="251"/>
        <item x="406"/>
        <item x="374"/>
        <item x="246"/>
        <item x="150"/>
        <item x="436"/>
        <item x="353"/>
        <item x="28"/>
        <item x="181"/>
        <item x="34"/>
        <item x="78"/>
        <item x="165"/>
        <item x="101"/>
        <item x="66"/>
        <item x="37"/>
        <item x="73"/>
        <item x="82"/>
        <item x="99"/>
        <item x="67"/>
        <item x="65"/>
        <item x="155"/>
        <item x="93"/>
        <item x="550"/>
        <item x="146"/>
        <item x="222"/>
        <item x="269"/>
        <item x="437"/>
        <item x="484"/>
        <item x="567"/>
        <item x="480"/>
        <item x="392"/>
        <item x="576"/>
        <item x="515"/>
        <item x="434"/>
        <item x="560"/>
        <item x="327"/>
        <item x="94"/>
        <item x="1"/>
        <item x="585"/>
        <item x="501"/>
        <item x="324"/>
        <item x="442"/>
        <item x="440"/>
        <item x="306"/>
        <item x="85"/>
        <item x="541"/>
        <item x="428"/>
        <item x="427"/>
        <item x="478"/>
        <item x="336"/>
        <item x="110"/>
        <item x="240"/>
        <item x="386"/>
        <item x="473"/>
        <item x="215"/>
        <item x="586"/>
        <item x="262"/>
        <item x="433"/>
        <item x="76"/>
        <item x="331"/>
        <item x="238"/>
        <item x="288"/>
        <item x="559"/>
        <item x="568"/>
        <item x="137"/>
        <item x="391"/>
        <item x="98"/>
        <item x="140"/>
        <item x="393"/>
        <item x="489"/>
        <item x="320"/>
        <item x="495"/>
        <item x="114"/>
        <item x="579"/>
        <item x="390"/>
        <item x="523"/>
        <item x="304"/>
        <item x="125"/>
        <item x="389"/>
        <item x="388"/>
        <item x="571"/>
        <item x="486"/>
        <item x="202"/>
        <item x="409"/>
        <item x="239"/>
        <item x="263"/>
        <item x="497"/>
        <item x="492"/>
        <item x="53"/>
        <item x="308"/>
        <item x="213"/>
        <item x="412"/>
        <item x="529"/>
        <item x="314"/>
        <item x="482"/>
        <item x="431"/>
        <item x="451"/>
        <item x="218"/>
        <item x="530"/>
        <item x="461"/>
        <item x="487"/>
        <item x="403"/>
        <item x="18"/>
        <item x="71"/>
        <item x="111"/>
        <item x="224"/>
        <item x="528"/>
        <item x="502"/>
        <item x="164"/>
        <item x="195"/>
        <item x="228"/>
        <item x="454"/>
        <item x="483"/>
        <item x="271"/>
        <item x="180"/>
        <item x="527"/>
        <item x="450"/>
        <item x="494"/>
        <item x="307"/>
        <item x="46"/>
        <item x="248"/>
        <item x="223"/>
        <item x="211"/>
        <item x="325"/>
        <item x="524"/>
        <item x="116"/>
        <item x="259"/>
        <item x="420"/>
        <item x="505"/>
        <item x="531"/>
        <item x="292"/>
        <item x="372"/>
        <item x="309"/>
        <item x="214"/>
        <item x="148"/>
        <item x="355"/>
        <item x="354"/>
        <item x="84"/>
        <item x="52"/>
        <item x="551"/>
        <item x="193"/>
        <item x="169"/>
        <item x="429"/>
        <item x="519"/>
        <item x="548"/>
        <item x="168"/>
        <item x="61"/>
        <item x="198"/>
        <item x="32"/>
        <item x="230"/>
        <item x="418"/>
        <item x="103"/>
        <item x="36"/>
        <item x="219"/>
        <item x="377"/>
        <item x="537"/>
        <item x="191"/>
        <item x="458"/>
        <item x="561"/>
        <item x="200"/>
        <item x="356"/>
        <item x="476"/>
        <item x="447"/>
        <item x="115"/>
        <item x="89"/>
        <item x="216"/>
        <item x="24"/>
        <item x="357"/>
        <item x="360"/>
        <item x="477"/>
        <item x="243"/>
        <item x="456"/>
        <item x="457"/>
        <item x="464"/>
        <item x="70"/>
        <item x="439"/>
        <item x="264"/>
        <item x="384"/>
        <item x="17"/>
        <item x="496"/>
        <item x="23"/>
        <item x="158"/>
        <item x="414"/>
        <item x="413"/>
        <item x="187"/>
        <item x="446"/>
        <item x="445"/>
        <item x="421"/>
        <item x="296"/>
        <item x="471"/>
        <item x="160"/>
        <item x="4"/>
        <item x="358"/>
        <item x="525"/>
        <item x="268"/>
        <item x="245"/>
        <item x="252"/>
        <item x="255"/>
        <item x="289"/>
        <item x="287"/>
        <item x="208"/>
        <item x="102"/>
        <item x="520"/>
        <item x="552"/>
        <item x="142"/>
        <item x="72"/>
        <item x="138"/>
        <item x="152"/>
        <item x="572"/>
        <item x="77"/>
        <item x="370"/>
        <item x="363"/>
        <item x="545"/>
        <item x="321"/>
        <item x="185"/>
        <item x="79"/>
        <item x="227"/>
        <item x="444"/>
        <item x="279"/>
        <item x="460"/>
        <item x="394"/>
        <item x="475"/>
        <item x="131"/>
        <item x="577"/>
        <item x="273"/>
        <item x="44"/>
        <item x="350"/>
        <item x="532"/>
        <item x="365"/>
        <item x="144"/>
        <item x="42"/>
        <item x="105"/>
        <item x="2"/>
        <item x="117"/>
        <item x="217"/>
        <item x="449"/>
        <item x="381"/>
        <item x="566"/>
        <item x="194"/>
        <item x="376"/>
        <item x="143"/>
        <item x="184"/>
        <item x="411"/>
        <item x="419"/>
        <item x="261"/>
        <item x="459"/>
        <item x="315"/>
        <item x="276"/>
        <item x="468"/>
        <item x="282"/>
        <item x="423"/>
        <item x="430"/>
        <item x="63"/>
        <item x="241"/>
        <item x="385"/>
        <item x="291"/>
        <item x="533"/>
        <item x="383"/>
        <item x="563"/>
        <item x="233"/>
        <item x="351"/>
        <item x="126"/>
        <item x="549"/>
        <item x="349"/>
        <item x="48"/>
        <item x="463"/>
        <item x="410"/>
        <item x="582"/>
        <item x="221"/>
        <item x="402"/>
        <item x="583"/>
        <item x="575"/>
        <item x="21"/>
        <item x="526"/>
        <item x="280"/>
        <item x="127"/>
        <item x="20"/>
        <item x="395"/>
        <item x="13"/>
        <item x="443"/>
        <item x="455"/>
        <item x="33"/>
        <item x="69"/>
        <item x="542"/>
        <item x="196"/>
        <item x="416"/>
        <item x="522"/>
        <item x="283"/>
        <item x="329"/>
        <item x="375"/>
        <item x="274"/>
        <item x="62"/>
        <item x="31"/>
        <item x="145"/>
        <item x="371"/>
        <item x="373"/>
        <item x="250"/>
        <item x="310"/>
        <item x="512"/>
        <item x="19"/>
        <item x="188"/>
        <item x="362"/>
        <item x="80"/>
        <item x="60"/>
        <item x="490"/>
        <item x="43"/>
        <item x="129"/>
        <item x="132"/>
        <item x="265"/>
        <item x="68"/>
        <item x="506"/>
        <item x="134"/>
        <item x="521"/>
        <item x="438"/>
        <item x="183"/>
        <item x="407"/>
        <item x="10"/>
        <item x="547"/>
        <item x="359"/>
        <item x="59"/>
        <item x="275"/>
        <item x="352"/>
        <item x="479"/>
        <item x="147"/>
        <item x="435"/>
        <item x="511"/>
        <item x="507"/>
        <item x="260"/>
        <item x="90"/>
        <item x="130"/>
        <item x="22"/>
        <item x="267"/>
        <item x="277"/>
        <item x="29"/>
        <item x="30"/>
        <item x="167"/>
        <item x="247"/>
        <item x="136"/>
        <item x="333"/>
        <item x="474"/>
        <item x="249"/>
        <item x="256"/>
        <item x="346"/>
        <item x="190"/>
        <item x="225"/>
        <item x="557"/>
        <item x="341"/>
        <item x="295"/>
        <item x="348"/>
        <item x="159"/>
        <item x="272"/>
        <item x="469"/>
        <item x="258"/>
        <item x="7"/>
        <item x="588"/>
        <item x="47"/>
        <item x="8"/>
        <item x="317"/>
        <item x="488"/>
        <item x="555"/>
        <item x="234"/>
        <item x="175"/>
        <item x="322"/>
        <item x="100"/>
        <item x="106"/>
        <item x="149"/>
        <item x="203"/>
        <item x="161"/>
        <item x="39"/>
        <item x="538"/>
        <item x="536"/>
        <item x="128"/>
        <item x="379"/>
        <item x="170"/>
        <item x="425"/>
        <item x="231"/>
        <item x="179"/>
        <item x="112"/>
        <item t="default"/>
      </items>
    </pivotField>
    <pivotField dataField="1" showAll="0">
      <items count="90">
        <item x="6"/>
        <item x="1"/>
        <item x="14"/>
        <item x="27"/>
        <item x="4"/>
        <item x="32"/>
        <item x="77"/>
        <item x="21"/>
        <item x="60"/>
        <item x="12"/>
        <item x="31"/>
        <item x="25"/>
        <item x="36"/>
        <item x="7"/>
        <item x="0"/>
        <item x="34"/>
        <item x="67"/>
        <item x="30"/>
        <item x="35"/>
        <item x="11"/>
        <item x="58"/>
        <item x="13"/>
        <item x="52"/>
        <item x="5"/>
        <item x="40"/>
        <item x="74"/>
        <item x="53"/>
        <item x="2"/>
        <item x="26"/>
        <item x="15"/>
        <item x="78"/>
        <item x="49"/>
        <item x="73"/>
        <item x="8"/>
        <item x="51"/>
        <item x="24"/>
        <item x="16"/>
        <item x="22"/>
        <item x="76"/>
        <item x="9"/>
        <item x="88"/>
        <item x="54"/>
        <item x="44"/>
        <item x="48"/>
        <item x="80"/>
        <item x="55"/>
        <item x="17"/>
        <item x="39"/>
        <item x="81"/>
        <item x="47"/>
        <item x="37"/>
        <item x="46"/>
        <item x="23"/>
        <item x="63"/>
        <item x="38"/>
        <item x="45"/>
        <item x="41"/>
        <item x="42"/>
        <item x="65"/>
        <item x="72"/>
        <item x="87"/>
        <item x="61"/>
        <item x="68"/>
        <item x="50"/>
        <item x="3"/>
        <item x="75"/>
        <item x="20"/>
        <item x="10"/>
        <item x="29"/>
        <item x="19"/>
        <item x="71"/>
        <item x="57"/>
        <item x="70"/>
        <item x="59"/>
        <item x="62"/>
        <item x="28"/>
        <item x="64"/>
        <item x="86"/>
        <item x="66"/>
        <item x="18"/>
        <item x="82"/>
        <item x="43"/>
        <item x="79"/>
        <item x="33"/>
        <item x="85"/>
        <item x="56"/>
        <item x="83"/>
        <item x="69"/>
        <item x="84"/>
        <item t="default"/>
      </items>
    </pivotField>
    <pivotField dataField="1" showAll="0"/>
    <pivotField showAll="0"/>
    <pivotField axis="axisRow" showAll="0">
      <items count="4">
        <item x="2"/>
        <item x="0"/>
        <item x="1"/>
        <item t="default"/>
      </items>
    </pivotField>
  </pivotFields>
  <rowFields count="1">
    <field x="9"/>
  </rowFields>
  <rowItems count="4">
    <i>
      <x/>
    </i>
    <i>
      <x v="1"/>
    </i>
    <i>
      <x v="2"/>
    </i>
    <i t="grand">
      <x/>
    </i>
  </rowItems>
  <colFields count="2">
    <field x="3"/>
    <field x="-2"/>
  </colFields>
  <colItems count="12">
    <i>
      <x/>
      <x/>
    </i>
    <i r="1" i="1">
      <x v="1"/>
    </i>
    <i>
      <x v="1"/>
      <x/>
    </i>
    <i r="1" i="1">
      <x v="1"/>
    </i>
    <i>
      <x v="2"/>
      <x/>
    </i>
    <i r="1" i="1">
      <x v="1"/>
    </i>
    <i>
      <x v="3"/>
      <x/>
    </i>
    <i r="1" i="1">
      <x v="1"/>
    </i>
    <i>
      <x v="4"/>
      <x/>
    </i>
    <i r="1" i="1">
      <x v="1"/>
    </i>
    <i t="grand">
      <x/>
    </i>
    <i t="grand" i="1">
      <x/>
    </i>
  </colItems>
  <dataFields count="2">
    <dataField name="Sum of AMOUNT" fld="7" baseField="0" baseItem="0"/>
    <dataField name="Sum of QTY" fld="6" baseField="0" baseItem="0"/>
  </dataFields>
  <chartFormats count="40">
    <chartFormat chart="0" format="5"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0"/>
          </reference>
          <reference field="3" count="1" selected="0">
            <x v="4"/>
          </reference>
        </references>
      </pivotArea>
    </chartFormat>
    <chartFormat chart="0" format="8" series="1">
      <pivotArea type="data" outline="0" fieldPosition="0">
        <references count="2">
          <reference field="4294967294" count="1" selected="0">
            <x v="0"/>
          </reference>
          <reference field="3" count="1" selected="0">
            <x v="0"/>
          </reference>
        </references>
      </pivotArea>
    </chartFormat>
    <chartFormat chart="0" format="9" series="1">
      <pivotArea type="data" outline="0" fieldPosition="0">
        <references count="2">
          <reference field="4294967294" count="1" selected="0">
            <x v="0"/>
          </reference>
          <reference field="3" count="1" selected="0">
            <x v="1"/>
          </reference>
        </references>
      </pivotArea>
    </chartFormat>
    <chartFormat chart="0" format="10" series="1">
      <pivotArea type="data" outline="0" fieldPosition="0">
        <references count="2">
          <reference field="4294967294" count="1" selected="0">
            <x v="1"/>
          </reference>
          <reference field="3" count="1" selected="0">
            <x v="2"/>
          </reference>
        </references>
      </pivotArea>
    </chartFormat>
    <chartFormat chart="0" format="11" series="1">
      <pivotArea type="data" outline="0" fieldPosition="0">
        <references count="2">
          <reference field="4294967294" count="1" selected="0">
            <x v="1"/>
          </reference>
          <reference field="3" count="1" selected="0">
            <x v="3"/>
          </reference>
        </references>
      </pivotArea>
    </chartFormat>
    <chartFormat chart="0" format="12" series="1">
      <pivotArea type="data" outline="0" fieldPosition="0">
        <references count="2">
          <reference field="4294967294" count="1" selected="0">
            <x v="1"/>
          </reference>
          <reference field="3" count="1" selected="0">
            <x v="4"/>
          </reference>
        </references>
      </pivotArea>
    </chartFormat>
    <chartFormat chart="0" format="13" series="1">
      <pivotArea type="data" outline="0" fieldPosition="0">
        <references count="2">
          <reference field="4294967294" count="1" selected="0">
            <x v="1"/>
          </reference>
          <reference field="3" count="1" selected="0">
            <x v="0"/>
          </reference>
        </references>
      </pivotArea>
    </chartFormat>
    <chartFormat chart="0" format="14" series="1">
      <pivotArea type="data" outline="0" fieldPosition="0">
        <references count="2">
          <reference field="4294967294" count="1" selected="0">
            <x v="1"/>
          </reference>
          <reference field="3" count="1" selected="0">
            <x v="1"/>
          </reference>
        </references>
      </pivotArea>
    </chartFormat>
    <chartFormat chart="0" format="15">
      <pivotArea type="data" outline="0" fieldPosition="0">
        <references count="3">
          <reference field="4294967294" count="1" selected="0">
            <x v="0"/>
          </reference>
          <reference field="3" count="1" selected="0">
            <x v="0"/>
          </reference>
          <reference field="9" count="1" selected="0">
            <x v="0"/>
          </reference>
        </references>
      </pivotArea>
    </chartFormat>
    <chartFormat chart="0" format="16">
      <pivotArea type="data" outline="0" fieldPosition="0">
        <references count="3">
          <reference field="4294967294" count="1" selected="0">
            <x v="0"/>
          </reference>
          <reference field="3" count="1" selected="0">
            <x v="0"/>
          </reference>
          <reference field="9" count="1" selected="0">
            <x v="1"/>
          </reference>
        </references>
      </pivotArea>
    </chartFormat>
    <chartFormat chart="0" format="17">
      <pivotArea type="data" outline="0" fieldPosition="0">
        <references count="3">
          <reference field="4294967294" count="1" selected="0">
            <x v="0"/>
          </reference>
          <reference field="3" count="1" selected="0">
            <x v="0"/>
          </reference>
          <reference field="9" count="1" selected="0">
            <x v="2"/>
          </reference>
        </references>
      </pivotArea>
    </chartFormat>
    <chartFormat chart="0" format="18">
      <pivotArea type="data" outline="0" fieldPosition="0">
        <references count="3">
          <reference field="4294967294" count="1" selected="0">
            <x v="1"/>
          </reference>
          <reference field="3" count="1" selected="0">
            <x v="0"/>
          </reference>
          <reference field="9" count="1" selected="0">
            <x v="0"/>
          </reference>
        </references>
      </pivotArea>
    </chartFormat>
    <chartFormat chart="0" format="19">
      <pivotArea type="data" outline="0" fieldPosition="0">
        <references count="3">
          <reference field="4294967294" count="1" selected="0">
            <x v="1"/>
          </reference>
          <reference field="3" count="1" selected="0">
            <x v="0"/>
          </reference>
          <reference field="9" count="1" selected="0">
            <x v="1"/>
          </reference>
        </references>
      </pivotArea>
    </chartFormat>
    <chartFormat chart="0" format="20">
      <pivotArea type="data" outline="0" fieldPosition="0">
        <references count="3">
          <reference field="4294967294" count="1" selected="0">
            <x v="1"/>
          </reference>
          <reference field="3" count="1" selected="0">
            <x v="0"/>
          </reference>
          <reference field="9" count="1" selected="0">
            <x v="2"/>
          </reference>
        </references>
      </pivotArea>
    </chartFormat>
    <chartFormat chart="0" format="21">
      <pivotArea type="data" outline="0" fieldPosition="0">
        <references count="3">
          <reference field="4294967294" count="1" selected="0">
            <x v="0"/>
          </reference>
          <reference field="3" count="1" selected="0">
            <x v="1"/>
          </reference>
          <reference field="9" count="1" selected="0">
            <x v="0"/>
          </reference>
        </references>
      </pivotArea>
    </chartFormat>
    <chartFormat chart="0" format="22">
      <pivotArea type="data" outline="0" fieldPosition="0">
        <references count="3">
          <reference field="4294967294" count="1" selected="0">
            <x v="0"/>
          </reference>
          <reference field="3" count="1" selected="0">
            <x v="1"/>
          </reference>
          <reference field="9" count="1" selected="0">
            <x v="1"/>
          </reference>
        </references>
      </pivotArea>
    </chartFormat>
    <chartFormat chart="0" format="23">
      <pivotArea type="data" outline="0" fieldPosition="0">
        <references count="3">
          <reference field="4294967294" count="1" selected="0">
            <x v="0"/>
          </reference>
          <reference field="3" count="1" selected="0">
            <x v="1"/>
          </reference>
          <reference field="9" count="1" selected="0">
            <x v="2"/>
          </reference>
        </references>
      </pivotArea>
    </chartFormat>
    <chartFormat chart="0" format="24">
      <pivotArea type="data" outline="0" fieldPosition="0">
        <references count="3">
          <reference field="4294967294" count="1" selected="0">
            <x v="1"/>
          </reference>
          <reference field="3" count="1" selected="0">
            <x v="1"/>
          </reference>
          <reference field="9" count="1" selected="0">
            <x v="0"/>
          </reference>
        </references>
      </pivotArea>
    </chartFormat>
    <chartFormat chart="0" format="25">
      <pivotArea type="data" outline="0" fieldPosition="0">
        <references count="3">
          <reference field="4294967294" count="1" selected="0">
            <x v="1"/>
          </reference>
          <reference field="3" count="1" selected="0">
            <x v="1"/>
          </reference>
          <reference field="9" count="1" selected="0">
            <x v="1"/>
          </reference>
        </references>
      </pivotArea>
    </chartFormat>
    <chartFormat chart="0" format="26">
      <pivotArea type="data" outline="0" fieldPosition="0">
        <references count="3">
          <reference field="4294967294" count="1" selected="0">
            <x v="1"/>
          </reference>
          <reference field="3" count="1" selected="0">
            <x v="1"/>
          </reference>
          <reference field="9" count="1" selected="0">
            <x v="2"/>
          </reference>
        </references>
      </pivotArea>
    </chartFormat>
    <chartFormat chart="0" format="27">
      <pivotArea type="data" outline="0" fieldPosition="0">
        <references count="3">
          <reference field="4294967294" count="1" selected="0">
            <x v="0"/>
          </reference>
          <reference field="3" count="1" selected="0">
            <x v="2"/>
          </reference>
          <reference field="9" count="1" selected="0">
            <x v="0"/>
          </reference>
        </references>
      </pivotArea>
    </chartFormat>
    <chartFormat chart="0" format="28">
      <pivotArea type="data" outline="0" fieldPosition="0">
        <references count="3">
          <reference field="4294967294" count="1" selected="0">
            <x v="0"/>
          </reference>
          <reference field="3" count="1" selected="0">
            <x v="2"/>
          </reference>
          <reference field="9" count="1" selected="0">
            <x v="1"/>
          </reference>
        </references>
      </pivotArea>
    </chartFormat>
    <chartFormat chart="0" format="29">
      <pivotArea type="data" outline="0" fieldPosition="0">
        <references count="3">
          <reference field="4294967294" count="1" selected="0">
            <x v="0"/>
          </reference>
          <reference field="3" count="1" selected="0">
            <x v="2"/>
          </reference>
          <reference field="9" count="1" selected="0">
            <x v="2"/>
          </reference>
        </references>
      </pivotArea>
    </chartFormat>
    <chartFormat chart="0" format="30">
      <pivotArea type="data" outline="0" fieldPosition="0">
        <references count="3">
          <reference field="4294967294" count="1" selected="0">
            <x v="1"/>
          </reference>
          <reference field="3" count="1" selected="0">
            <x v="2"/>
          </reference>
          <reference field="9" count="1" selected="0">
            <x v="0"/>
          </reference>
        </references>
      </pivotArea>
    </chartFormat>
    <chartFormat chart="0" format="31">
      <pivotArea type="data" outline="0" fieldPosition="0">
        <references count="3">
          <reference field="4294967294" count="1" selected="0">
            <x v="1"/>
          </reference>
          <reference field="3" count="1" selected="0">
            <x v="2"/>
          </reference>
          <reference field="9" count="1" selected="0">
            <x v="1"/>
          </reference>
        </references>
      </pivotArea>
    </chartFormat>
    <chartFormat chart="0" format="32">
      <pivotArea type="data" outline="0" fieldPosition="0">
        <references count="3">
          <reference field="4294967294" count="1" selected="0">
            <x v="1"/>
          </reference>
          <reference field="3" count="1" selected="0">
            <x v="2"/>
          </reference>
          <reference field="9" count="1" selected="0">
            <x v="2"/>
          </reference>
        </references>
      </pivotArea>
    </chartFormat>
    <chartFormat chart="0" format="33">
      <pivotArea type="data" outline="0" fieldPosition="0">
        <references count="3">
          <reference field="4294967294" count="1" selected="0">
            <x v="0"/>
          </reference>
          <reference field="3" count="1" selected="0">
            <x v="3"/>
          </reference>
          <reference field="9" count="1" selected="0">
            <x v="0"/>
          </reference>
        </references>
      </pivotArea>
    </chartFormat>
    <chartFormat chart="0" format="34">
      <pivotArea type="data" outline="0" fieldPosition="0">
        <references count="3">
          <reference field="4294967294" count="1" selected="0">
            <x v="0"/>
          </reference>
          <reference field="3" count="1" selected="0">
            <x v="3"/>
          </reference>
          <reference field="9" count="1" selected="0">
            <x v="1"/>
          </reference>
        </references>
      </pivotArea>
    </chartFormat>
    <chartFormat chart="0" format="35">
      <pivotArea type="data" outline="0" fieldPosition="0">
        <references count="3">
          <reference field="4294967294" count="1" selected="0">
            <x v="0"/>
          </reference>
          <reference field="3" count="1" selected="0">
            <x v="3"/>
          </reference>
          <reference field="9" count="1" selected="0">
            <x v="2"/>
          </reference>
        </references>
      </pivotArea>
    </chartFormat>
    <chartFormat chart="0" format="36">
      <pivotArea type="data" outline="0" fieldPosition="0">
        <references count="3">
          <reference field="4294967294" count="1" selected="0">
            <x v="1"/>
          </reference>
          <reference field="3" count="1" selected="0">
            <x v="3"/>
          </reference>
          <reference field="9" count="1" selected="0">
            <x v="0"/>
          </reference>
        </references>
      </pivotArea>
    </chartFormat>
    <chartFormat chart="0" format="37">
      <pivotArea type="data" outline="0" fieldPosition="0">
        <references count="3">
          <reference field="4294967294" count="1" selected="0">
            <x v="1"/>
          </reference>
          <reference field="3" count="1" selected="0">
            <x v="3"/>
          </reference>
          <reference field="9" count="1" selected="0">
            <x v="1"/>
          </reference>
        </references>
      </pivotArea>
    </chartFormat>
    <chartFormat chart="0" format="38">
      <pivotArea type="data" outline="0" fieldPosition="0">
        <references count="3">
          <reference field="4294967294" count="1" selected="0">
            <x v="1"/>
          </reference>
          <reference field="3" count="1" selected="0">
            <x v="3"/>
          </reference>
          <reference field="9" count="1" selected="0">
            <x v="2"/>
          </reference>
        </references>
      </pivotArea>
    </chartFormat>
    <chartFormat chart="0" format="39">
      <pivotArea type="data" outline="0" fieldPosition="0">
        <references count="3">
          <reference field="4294967294" count="1" selected="0">
            <x v="0"/>
          </reference>
          <reference field="3" count="1" selected="0">
            <x v="4"/>
          </reference>
          <reference field="9" count="1" selected="0">
            <x v="0"/>
          </reference>
        </references>
      </pivotArea>
    </chartFormat>
    <chartFormat chart="0" format="40">
      <pivotArea type="data" outline="0" fieldPosition="0">
        <references count="3">
          <reference field="4294967294" count="1" selected="0">
            <x v="0"/>
          </reference>
          <reference field="3" count="1" selected="0">
            <x v="4"/>
          </reference>
          <reference field="9" count="1" selected="0">
            <x v="1"/>
          </reference>
        </references>
      </pivotArea>
    </chartFormat>
    <chartFormat chart="0" format="41">
      <pivotArea type="data" outline="0" fieldPosition="0">
        <references count="3">
          <reference field="4294967294" count="1" selected="0">
            <x v="0"/>
          </reference>
          <reference field="3" count="1" selected="0">
            <x v="4"/>
          </reference>
          <reference field="9" count="1" selected="0">
            <x v="2"/>
          </reference>
        </references>
      </pivotArea>
    </chartFormat>
    <chartFormat chart="0" format="42">
      <pivotArea type="data" outline="0" fieldPosition="0">
        <references count="3">
          <reference field="4294967294" count="1" selected="0">
            <x v="1"/>
          </reference>
          <reference field="3" count="1" selected="0">
            <x v="4"/>
          </reference>
          <reference field="9" count="1" selected="0">
            <x v="0"/>
          </reference>
        </references>
      </pivotArea>
    </chartFormat>
    <chartFormat chart="0" format="43">
      <pivotArea type="data" outline="0" fieldPosition="0">
        <references count="3">
          <reference field="4294967294" count="1" selected="0">
            <x v="1"/>
          </reference>
          <reference field="3" count="1" selected="0">
            <x v="4"/>
          </reference>
          <reference field="9" count="1" selected="0">
            <x v="1"/>
          </reference>
        </references>
      </pivotArea>
    </chartFormat>
    <chartFormat chart="0" format="44">
      <pivotArea type="data" outline="0" fieldPosition="0">
        <references count="3">
          <reference field="4294967294" count="1" selected="0">
            <x v="1"/>
          </reference>
          <reference field="3" count="1" selected="0">
            <x v="4"/>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282578-2EDC-4DD1-AFC9-CBB9E7A3F40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2:C48" firstHeaderRow="0" firstDataRow="1" firstDataCol="1" rowPageCount="1" colPageCount="1"/>
  <pivotFields count="10">
    <pivotField showAll="0"/>
    <pivotField axis="axisPage"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axis="axisRow" showAll="0">
      <items count="6">
        <item x="4"/>
        <item x="3"/>
        <item x="1"/>
        <item x="0"/>
        <item x="2"/>
        <item t="default"/>
      </items>
    </pivotField>
    <pivotField showAll="0"/>
    <pivotField showAll="0"/>
    <pivotField dataField="1" showAll="0"/>
    <pivotField dataField="1" showAll="0"/>
    <pivotField showAll="0"/>
    <pivotField showAll="0"/>
  </pivotFields>
  <rowFields count="1">
    <field x="3"/>
  </rowFields>
  <rowItems count="6">
    <i>
      <x/>
    </i>
    <i>
      <x v="1"/>
    </i>
    <i>
      <x v="2"/>
    </i>
    <i>
      <x v="3"/>
    </i>
    <i>
      <x v="4"/>
    </i>
    <i t="grand">
      <x/>
    </i>
  </rowItems>
  <colFields count="1">
    <field x="-2"/>
  </colFields>
  <colItems count="2">
    <i>
      <x/>
    </i>
    <i i="1">
      <x v="1"/>
    </i>
  </colItems>
  <pageFields count="1">
    <pageField fld="1" hier="-1"/>
  </pageFields>
  <dataFields count="2">
    <dataField name="Sum of QTY" fld="6" baseField="0" baseItem="0"/>
    <dataField name="Sum of AMOUNT"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C8244D6-E670-486E-8429-2DD6B6FBFD0E}" sourceName="ORDER DATE">
  <pivotTables>
    <pivotTable tabId="3" name="PivotTable2"/>
  </pivotTables>
  <data>
    <tabular pivotCacheId="1478532304">
      <items count="1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BC9BFC6A-1B23-4FE0-B2E9-CAC14DC52062}" cache="Slicer_ORDER_DATE" caption="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D27C-3E7A-414E-8EAD-CBC9C37C62EE}">
  <dimension ref="A1:M48"/>
  <sheetViews>
    <sheetView topLeftCell="A4" workbookViewId="0">
      <selection activeCell="J40" sqref="J40"/>
    </sheetView>
  </sheetViews>
  <sheetFormatPr defaultRowHeight="15" x14ac:dyDescent="0.25"/>
  <cols>
    <col min="1" max="1" width="22" bestFit="1" customWidth="1"/>
    <col min="2" max="2" width="16.28515625" bestFit="1" customWidth="1"/>
    <col min="3" max="3" width="7" bestFit="1" customWidth="1"/>
    <col min="4" max="4" width="6.85546875" bestFit="1" customWidth="1"/>
    <col min="5" max="5" width="7.42578125" bestFit="1" customWidth="1"/>
    <col min="6" max="6" width="8.7109375" bestFit="1" customWidth="1"/>
    <col min="7" max="7" width="11.28515625" bestFit="1" customWidth="1"/>
    <col min="8" max="8" width="16.140625" bestFit="1" customWidth="1"/>
    <col min="9" max="9" width="11.140625" bestFit="1" customWidth="1"/>
    <col min="10" max="10" width="16.140625" bestFit="1" customWidth="1"/>
    <col min="11" max="11" width="11.140625" bestFit="1" customWidth="1"/>
    <col min="12" max="12" width="21.140625" bestFit="1" customWidth="1"/>
    <col min="13" max="13" width="16.140625" bestFit="1" customWidth="1"/>
    <col min="14" max="622" width="16.28515625" bestFit="1" customWidth="1"/>
    <col min="623" max="623" width="11.28515625" bestFit="1" customWidth="1"/>
  </cols>
  <sheetData>
    <row r="1" spans="1:13" x14ac:dyDescent="0.25">
      <c r="B1" s="8" t="s">
        <v>1542</v>
      </c>
    </row>
    <row r="2" spans="1:13" x14ac:dyDescent="0.25">
      <c r="B2" t="s">
        <v>1539</v>
      </c>
      <c r="D2" t="s">
        <v>1538</v>
      </c>
      <c r="F2" t="s">
        <v>1536</v>
      </c>
      <c r="H2" t="s">
        <v>1535</v>
      </c>
      <c r="J2" t="s">
        <v>1537</v>
      </c>
      <c r="L2" t="s">
        <v>1546</v>
      </c>
      <c r="M2" t="s">
        <v>1545</v>
      </c>
    </row>
    <row r="3" spans="1:13" x14ac:dyDescent="0.25">
      <c r="A3" s="8" t="s">
        <v>1548</v>
      </c>
      <c r="B3" t="s">
        <v>1547</v>
      </c>
      <c r="C3" t="s">
        <v>1544</v>
      </c>
      <c r="D3" t="s">
        <v>1547</v>
      </c>
      <c r="E3" t="s">
        <v>1544</v>
      </c>
      <c r="F3" t="s">
        <v>1547</v>
      </c>
      <c r="G3" t="s">
        <v>1544</v>
      </c>
      <c r="H3" t="s">
        <v>1547</v>
      </c>
      <c r="I3" t="s">
        <v>1544</v>
      </c>
      <c r="J3" t="s">
        <v>1547</v>
      </c>
      <c r="K3" t="s">
        <v>1544</v>
      </c>
    </row>
    <row r="4" spans="1:13" x14ac:dyDescent="0.25">
      <c r="A4" s="10" t="s">
        <v>1549</v>
      </c>
      <c r="B4" s="9">
        <v>2461.7799999999997</v>
      </c>
      <c r="C4" s="9">
        <v>121</v>
      </c>
      <c r="D4" s="9">
        <v>190151.22999999998</v>
      </c>
      <c r="E4" s="9">
        <v>5926</v>
      </c>
      <c r="F4" s="9"/>
      <c r="G4" s="9"/>
      <c r="H4" s="9">
        <v>217740.18000000005</v>
      </c>
      <c r="I4" s="9">
        <v>17115</v>
      </c>
      <c r="J4" s="9"/>
      <c r="K4" s="9"/>
      <c r="L4" s="9">
        <v>410353.19000000006</v>
      </c>
      <c r="M4" s="9">
        <v>23162</v>
      </c>
    </row>
    <row r="5" spans="1:13" x14ac:dyDescent="0.25">
      <c r="A5" s="10" t="s">
        <v>1550</v>
      </c>
      <c r="B5" s="9">
        <v>1893.1799999999998</v>
      </c>
      <c r="C5" s="9">
        <v>39</v>
      </c>
      <c r="D5" s="9">
        <v>171057.81999999995</v>
      </c>
      <c r="E5" s="9">
        <v>1223</v>
      </c>
      <c r="F5" s="9">
        <v>8726.6299999999992</v>
      </c>
      <c r="G5" s="9">
        <v>56</v>
      </c>
      <c r="H5" s="9">
        <v>12286.519999999999</v>
      </c>
      <c r="I5" s="9">
        <v>834</v>
      </c>
      <c r="J5" s="9">
        <v>79.86</v>
      </c>
      <c r="K5" s="9">
        <v>6</v>
      </c>
      <c r="L5" s="9">
        <v>194044.00999999992</v>
      </c>
      <c r="M5" s="9">
        <v>2158</v>
      </c>
    </row>
    <row r="6" spans="1:13" x14ac:dyDescent="0.25">
      <c r="A6" s="10" t="s">
        <v>1551</v>
      </c>
      <c r="B6" s="9">
        <v>1323.18</v>
      </c>
      <c r="C6" s="9">
        <v>9</v>
      </c>
      <c r="D6" s="9">
        <v>66815.560000000012</v>
      </c>
      <c r="E6" s="9">
        <v>249</v>
      </c>
      <c r="F6" s="9">
        <v>3183.3199999999997</v>
      </c>
      <c r="G6" s="9">
        <v>19</v>
      </c>
      <c r="H6" s="9">
        <v>913.07999999999993</v>
      </c>
      <c r="I6" s="9">
        <v>6</v>
      </c>
      <c r="J6" s="9">
        <v>795.24</v>
      </c>
      <c r="K6" s="9">
        <v>2</v>
      </c>
      <c r="L6" s="9">
        <v>73030.38</v>
      </c>
      <c r="M6" s="9">
        <v>285</v>
      </c>
    </row>
    <row r="7" spans="1:13" x14ac:dyDescent="0.25">
      <c r="A7" s="10" t="s">
        <v>1543</v>
      </c>
      <c r="B7" s="9">
        <v>5678.1399999999994</v>
      </c>
      <c r="C7" s="9">
        <v>169</v>
      </c>
      <c r="D7" s="9">
        <v>428024.60999999993</v>
      </c>
      <c r="E7" s="9">
        <v>7398</v>
      </c>
      <c r="F7" s="9">
        <v>11909.949999999999</v>
      </c>
      <c r="G7" s="9">
        <v>75</v>
      </c>
      <c r="H7" s="9">
        <v>230939.78000000003</v>
      </c>
      <c r="I7" s="9">
        <v>17955</v>
      </c>
      <c r="J7" s="9">
        <v>875.1</v>
      </c>
      <c r="K7" s="9">
        <v>8</v>
      </c>
      <c r="L7" s="9">
        <v>677427.58</v>
      </c>
      <c r="M7" s="9">
        <v>25605</v>
      </c>
    </row>
    <row r="23" spans="1:7" x14ac:dyDescent="0.25">
      <c r="A23" s="8" t="s">
        <v>7</v>
      </c>
      <c r="B23" t="s">
        <v>1554</v>
      </c>
    </row>
    <row r="25" spans="1:7" x14ac:dyDescent="0.25">
      <c r="A25" s="8" t="s">
        <v>1555</v>
      </c>
      <c r="B25" s="8" t="s">
        <v>1542</v>
      </c>
    </row>
    <row r="26" spans="1:7" x14ac:dyDescent="0.25">
      <c r="A26" s="8" t="s">
        <v>1548</v>
      </c>
      <c r="B26" t="s">
        <v>1539</v>
      </c>
      <c r="C26" t="s">
        <v>1538</v>
      </c>
      <c r="D26" t="s">
        <v>1536</v>
      </c>
      <c r="E26" t="s">
        <v>1535</v>
      </c>
      <c r="F26" t="s">
        <v>1537</v>
      </c>
      <c r="G26" t="s">
        <v>1543</v>
      </c>
    </row>
    <row r="27" spans="1:7" x14ac:dyDescent="0.25">
      <c r="A27" s="10" t="s">
        <v>1549</v>
      </c>
      <c r="B27" s="9">
        <v>15</v>
      </c>
      <c r="C27" s="9">
        <v>478</v>
      </c>
      <c r="D27" s="9"/>
      <c r="E27" s="9">
        <v>829</v>
      </c>
      <c r="F27" s="9"/>
      <c r="G27" s="9">
        <v>1322</v>
      </c>
    </row>
    <row r="28" spans="1:7" x14ac:dyDescent="0.25">
      <c r="A28" s="10" t="s">
        <v>1550</v>
      </c>
      <c r="B28" s="9">
        <v>14</v>
      </c>
      <c r="C28" s="9">
        <v>477</v>
      </c>
      <c r="D28" s="9">
        <v>19</v>
      </c>
      <c r="E28" s="9">
        <v>300</v>
      </c>
      <c r="F28" s="9">
        <v>2</v>
      </c>
      <c r="G28" s="9">
        <v>812</v>
      </c>
    </row>
    <row r="29" spans="1:7" x14ac:dyDescent="0.25">
      <c r="A29" s="10" t="s">
        <v>1551</v>
      </c>
      <c r="B29" s="9">
        <v>12</v>
      </c>
      <c r="C29" s="9">
        <v>382</v>
      </c>
      <c r="D29" s="9">
        <v>30</v>
      </c>
      <c r="E29" s="9">
        <v>12</v>
      </c>
      <c r="F29" s="9">
        <v>2</v>
      </c>
      <c r="G29" s="9">
        <v>438</v>
      </c>
    </row>
    <row r="30" spans="1:7" x14ac:dyDescent="0.25">
      <c r="A30" s="10" t="s">
        <v>1543</v>
      </c>
      <c r="B30" s="9">
        <v>41</v>
      </c>
      <c r="C30" s="9">
        <v>1337</v>
      </c>
      <c r="D30" s="9">
        <v>49</v>
      </c>
      <c r="E30" s="9">
        <v>1141</v>
      </c>
      <c r="F30" s="9">
        <v>4</v>
      </c>
      <c r="G30" s="9">
        <v>2572</v>
      </c>
    </row>
    <row r="40" spans="1:3" x14ac:dyDescent="0.25">
      <c r="A40" s="8" t="s">
        <v>1</v>
      </c>
      <c r="B40" t="s">
        <v>1554</v>
      </c>
    </row>
    <row r="42" spans="1:3" x14ac:dyDescent="0.25">
      <c r="A42" s="8" t="s">
        <v>1548</v>
      </c>
      <c r="B42" t="s">
        <v>1544</v>
      </c>
      <c r="C42" t="s">
        <v>1547</v>
      </c>
    </row>
    <row r="43" spans="1:3" x14ac:dyDescent="0.25">
      <c r="A43" s="10" t="s">
        <v>1539</v>
      </c>
      <c r="B43" s="9">
        <v>169</v>
      </c>
      <c r="C43" s="9">
        <v>5678.1399999999994</v>
      </c>
    </row>
    <row r="44" spans="1:3" x14ac:dyDescent="0.25">
      <c r="A44" s="10" t="s">
        <v>1538</v>
      </c>
      <c r="B44" s="9">
        <v>7398</v>
      </c>
      <c r="C44" s="9">
        <v>428024.61000000028</v>
      </c>
    </row>
    <row r="45" spans="1:3" x14ac:dyDescent="0.25">
      <c r="A45" s="10" t="s">
        <v>1536</v>
      </c>
      <c r="B45" s="9">
        <v>75</v>
      </c>
      <c r="C45" s="9">
        <v>11909.95</v>
      </c>
    </row>
    <row r="46" spans="1:3" x14ac:dyDescent="0.25">
      <c r="A46" s="10" t="s">
        <v>1535</v>
      </c>
      <c r="B46" s="9">
        <v>17955</v>
      </c>
      <c r="C46" s="9">
        <v>230939.78000000012</v>
      </c>
    </row>
    <row r="47" spans="1:3" x14ac:dyDescent="0.25">
      <c r="A47" s="10" t="s">
        <v>1537</v>
      </c>
      <c r="B47" s="9">
        <v>8</v>
      </c>
      <c r="C47" s="9">
        <v>875.1</v>
      </c>
    </row>
    <row r="48" spans="1:3" x14ac:dyDescent="0.25">
      <c r="A48" s="10" t="s">
        <v>1543</v>
      </c>
      <c r="B48" s="9">
        <v>25605</v>
      </c>
      <c r="C48" s="9">
        <v>677427.58000000042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DA80-7C3B-4FDD-A42D-AFEA002FE7D8}">
  <dimension ref="A1:N671"/>
  <sheetViews>
    <sheetView tabSelected="1" topLeftCell="E1" zoomScaleNormal="100" workbookViewId="0">
      <selection activeCell="L21" sqref="L21"/>
    </sheetView>
  </sheetViews>
  <sheetFormatPr defaultRowHeight="15" x14ac:dyDescent="0.25"/>
  <cols>
    <col min="2" max="2" width="12" bestFit="1" customWidth="1"/>
    <col min="3" max="3" width="52.5703125" bestFit="1" customWidth="1"/>
    <col min="4" max="5" width="18.85546875" customWidth="1"/>
    <col min="6" max="8" width="20.5703125" customWidth="1"/>
    <col min="9" max="9" width="35.7109375" customWidth="1"/>
    <col min="10" max="10" width="20.7109375" customWidth="1"/>
    <col min="14" max="14" width="15" bestFit="1" customWidth="1"/>
  </cols>
  <sheetData>
    <row r="1" spans="1:14" x14ac:dyDescent="0.25">
      <c r="A1" s="3" t="s">
        <v>0</v>
      </c>
      <c r="B1" s="3" t="s">
        <v>1</v>
      </c>
      <c r="C1" s="3" t="s">
        <v>2</v>
      </c>
      <c r="D1" s="2" t="s">
        <v>3</v>
      </c>
      <c r="E1" s="2" t="s">
        <v>1540</v>
      </c>
      <c r="F1" s="3" t="s">
        <v>4</v>
      </c>
      <c r="G1" s="3" t="s">
        <v>5</v>
      </c>
      <c r="H1" s="3" t="s">
        <v>6</v>
      </c>
      <c r="I1" s="3" t="s">
        <v>7</v>
      </c>
      <c r="J1" s="4" t="s">
        <v>1541</v>
      </c>
    </row>
    <row r="2" spans="1:14" x14ac:dyDescent="0.25">
      <c r="A2" s="5">
        <v>5001</v>
      </c>
      <c r="B2" s="6">
        <v>45748</v>
      </c>
      <c r="C2" s="5" t="s">
        <v>8</v>
      </c>
      <c r="D2" s="5" t="s">
        <v>1535</v>
      </c>
      <c r="E2" s="5">
        <v>5</v>
      </c>
      <c r="F2" s="5" t="s">
        <v>630</v>
      </c>
      <c r="G2" s="5">
        <v>15</v>
      </c>
      <c r="H2" s="5">
        <v>192</v>
      </c>
      <c r="I2" s="5" t="s">
        <v>1491</v>
      </c>
      <c r="J2" s="5" t="str">
        <f>IF(G2&lt;=2,"RETAIL",IF(G2&lt;=20,"REGULAR",IF(G2&gt;20,"BULK/HOSPITALS")))</f>
        <v>REGULAR</v>
      </c>
    </row>
    <row r="3" spans="1:14" x14ac:dyDescent="0.25">
      <c r="A3" s="5">
        <v>5002</v>
      </c>
      <c r="B3" s="6">
        <v>45748</v>
      </c>
      <c r="C3" s="5" t="s">
        <v>9</v>
      </c>
      <c r="D3" s="5" t="s">
        <v>1536</v>
      </c>
      <c r="E3" s="5">
        <v>2</v>
      </c>
      <c r="F3" s="5" t="s">
        <v>631</v>
      </c>
      <c r="G3" s="5">
        <v>2</v>
      </c>
      <c r="H3" s="5">
        <v>420</v>
      </c>
      <c r="I3" s="5" t="s">
        <v>1491</v>
      </c>
      <c r="J3" s="5" t="str">
        <f t="shared" ref="J3:J66" si="0">IF(G3&lt;=2,"RETAIL",IF(G3&lt;=20,"REGULAR",IF(G3&gt;20,"BULK/HOSPITALS")))</f>
        <v>RETAIL</v>
      </c>
    </row>
    <row r="4" spans="1:14" x14ac:dyDescent="0.25">
      <c r="A4" s="5">
        <v>5003</v>
      </c>
      <c r="B4" s="6">
        <v>45748</v>
      </c>
      <c r="C4" s="5" t="s">
        <v>10</v>
      </c>
      <c r="D4" s="5" t="s">
        <v>1535</v>
      </c>
      <c r="E4" s="5">
        <v>5</v>
      </c>
      <c r="F4" s="5" t="s">
        <v>632</v>
      </c>
      <c r="G4" s="5">
        <v>28</v>
      </c>
      <c r="H4" s="5">
        <v>1282.73</v>
      </c>
      <c r="I4" s="5" t="s">
        <v>1492</v>
      </c>
      <c r="J4" s="5" t="str">
        <f t="shared" si="0"/>
        <v>BULK/HOSPITALS</v>
      </c>
    </row>
    <row r="5" spans="1:14" x14ac:dyDescent="0.25">
      <c r="A5" s="5">
        <v>5004</v>
      </c>
      <c r="B5" s="6">
        <v>45748</v>
      </c>
      <c r="C5" s="5" t="s">
        <v>11</v>
      </c>
      <c r="D5" s="5" t="s">
        <v>1535</v>
      </c>
      <c r="E5" s="5">
        <v>10</v>
      </c>
      <c r="F5" s="5" t="s">
        <v>633</v>
      </c>
      <c r="G5" s="5">
        <v>150</v>
      </c>
      <c r="H5" s="5">
        <v>2571</v>
      </c>
      <c r="I5" s="5" t="s">
        <v>1493</v>
      </c>
      <c r="J5" s="5" t="str">
        <f t="shared" si="0"/>
        <v>BULK/HOSPITALS</v>
      </c>
    </row>
    <row r="6" spans="1:14" x14ac:dyDescent="0.25">
      <c r="A6" s="5">
        <v>5005</v>
      </c>
      <c r="B6" s="6">
        <v>45748</v>
      </c>
      <c r="C6" s="5" t="s">
        <v>12</v>
      </c>
      <c r="D6" s="5" t="s">
        <v>1537</v>
      </c>
      <c r="E6" s="5">
        <v>2</v>
      </c>
      <c r="F6" s="5" t="s">
        <v>634</v>
      </c>
      <c r="G6" s="5">
        <v>2</v>
      </c>
      <c r="H6" s="5">
        <v>795.24</v>
      </c>
      <c r="I6" s="5" t="s">
        <v>1494</v>
      </c>
      <c r="J6" s="5" t="str">
        <f t="shared" si="0"/>
        <v>RETAIL</v>
      </c>
    </row>
    <row r="7" spans="1:14" x14ac:dyDescent="0.25">
      <c r="A7" s="5">
        <v>5006</v>
      </c>
      <c r="B7" s="6">
        <v>45748</v>
      </c>
      <c r="C7" s="5" t="s">
        <v>13</v>
      </c>
      <c r="D7" s="5" t="s">
        <v>1538</v>
      </c>
      <c r="E7" s="5">
        <v>2</v>
      </c>
      <c r="F7" s="5" t="s">
        <v>635</v>
      </c>
      <c r="G7" s="5">
        <v>5</v>
      </c>
      <c r="H7" s="5">
        <v>65.400000000000006</v>
      </c>
      <c r="I7" s="5" t="s">
        <v>1494</v>
      </c>
      <c r="J7" s="5" t="str">
        <f t="shared" si="0"/>
        <v>REGULAR</v>
      </c>
    </row>
    <row r="8" spans="1:14" x14ac:dyDescent="0.25">
      <c r="A8" s="5">
        <v>5007</v>
      </c>
      <c r="B8" s="6">
        <v>45748</v>
      </c>
      <c r="C8" s="5" t="s">
        <v>14</v>
      </c>
      <c r="D8" s="5" t="s">
        <v>1538</v>
      </c>
      <c r="E8" s="5">
        <v>5</v>
      </c>
      <c r="F8" s="5" t="s">
        <v>636</v>
      </c>
      <c r="G8" s="5">
        <v>24</v>
      </c>
      <c r="H8" s="5">
        <v>4069.06</v>
      </c>
      <c r="I8" s="5" t="s">
        <v>1054</v>
      </c>
      <c r="J8" s="5" t="str">
        <f t="shared" si="0"/>
        <v>BULK/HOSPITALS</v>
      </c>
    </row>
    <row r="9" spans="1:14" x14ac:dyDescent="0.25">
      <c r="A9" s="5">
        <v>5008</v>
      </c>
      <c r="B9" s="6">
        <v>45748</v>
      </c>
      <c r="C9" s="5" t="s">
        <v>15</v>
      </c>
      <c r="D9" s="5" t="s">
        <v>1535</v>
      </c>
      <c r="E9" s="5">
        <v>2</v>
      </c>
      <c r="F9" s="5" t="s">
        <v>637</v>
      </c>
      <c r="G9" s="5">
        <v>1</v>
      </c>
      <c r="H9" s="5">
        <v>9.4</v>
      </c>
      <c r="I9" s="5" t="s">
        <v>1345</v>
      </c>
      <c r="J9" s="5" t="str">
        <f t="shared" si="0"/>
        <v>RETAIL</v>
      </c>
      <c r="M9" s="13" t="s">
        <v>1560</v>
      </c>
      <c r="N9" s="13"/>
    </row>
    <row r="10" spans="1:14" x14ac:dyDescent="0.25">
      <c r="A10" s="5">
        <v>5009</v>
      </c>
      <c r="B10" s="6">
        <v>45748</v>
      </c>
      <c r="C10" s="5" t="s">
        <v>16</v>
      </c>
      <c r="D10" s="5" t="s">
        <v>1535</v>
      </c>
      <c r="E10" s="5">
        <v>5</v>
      </c>
      <c r="F10" s="5" t="s">
        <v>638</v>
      </c>
      <c r="G10" s="5">
        <v>14</v>
      </c>
      <c r="H10" s="5">
        <v>111.71</v>
      </c>
      <c r="I10" s="5" t="s">
        <v>1345</v>
      </c>
      <c r="J10" s="5" t="str">
        <f t="shared" si="0"/>
        <v>REGULAR</v>
      </c>
      <c r="M10" s="5">
        <f>SUMIF(D:D,D4,H:H)</f>
        <v>230939.78000000012</v>
      </c>
      <c r="N10" s="5" t="s">
        <v>1556</v>
      </c>
    </row>
    <row r="11" spans="1:14" x14ac:dyDescent="0.25">
      <c r="A11" s="5">
        <v>5010</v>
      </c>
      <c r="B11" s="6">
        <v>45748</v>
      </c>
      <c r="C11" s="5" t="s">
        <v>17</v>
      </c>
      <c r="D11" s="5" t="s">
        <v>1535</v>
      </c>
      <c r="E11" s="5">
        <v>5</v>
      </c>
      <c r="F11" s="5" t="s">
        <v>639</v>
      </c>
      <c r="G11" s="5">
        <v>36</v>
      </c>
      <c r="H11" s="5">
        <v>577.20000000000005</v>
      </c>
      <c r="I11" s="5" t="s">
        <v>1345</v>
      </c>
      <c r="J11" s="5" t="str">
        <f t="shared" si="0"/>
        <v>BULK/HOSPITALS</v>
      </c>
      <c r="M11" s="5">
        <f>SUMIF(D:D,D6,H:H)</f>
        <v>875.1</v>
      </c>
      <c r="N11" s="5" t="s">
        <v>1557</v>
      </c>
    </row>
    <row r="12" spans="1:14" x14ac:dyDescent="0.25">
      <c r="A12" s="5">
        <v>5011</v>
      </c>
      <c r="B12" s="6">
        <v>45748</v>
      </c>
      <c r="C12" s="5" t="s">
        <v>18</v>
      </c>
      <c r="D12" s="5" t="s">
        <v>1535</v>
      </c>
      <c r="E12" s="5">
        <v>5</v>
      </c>
      <c r="F12" s="5" t="s">
        <v>640</v>
      </c>
      <c r="G12" s="5">
        <v>48</v>
      </c>
      <c r="H12" s="5">
        <v>348.72</v>
      </c>
      <c r="I12" s="5" t="s">
        <v>1495</v>
      </c>
      <c r="J12" s="5" t="str">
        <f t="shared" si="0"/>
        <v>BULK/HOSPITALS</v>
      </c>
      <c r="L12" s="11" t="s">
        <v>1552</v>
      </c>
      <c r="M12" s="5">
        <f>SUMIF(D:D,D3,H:H)</f>
        <v>11909.95</v>
      </c>
      <c r="N12" s="5" t="s">
        <v>1558</v>
      </c>
    </row>
    <row r="13" spans="1:14" x14ac:dyDescent="0.25">
      <c r="A13" s="5">
        <v>5012</v>
      </c>
      <c r="B13" s="6">
        <v>45749</v>
      </c>
      <c r="C13" s="5" t="s">
        <v>19</v>
      </c>
      <c r="D13" s="5" t="s">
        <v>1535</v>
      </c>
      <c r="E13" s="5">
        <v>10</v>
      </c>
      <c r="F13" s="5" t="s">
        <v>641</v>
      </c>
      <c r="G13" s="5">
        <v>196</v>
      </c>
      <c r="H13" s="5">
        <v>2463.75</v>
      </c>
      <c r="I13" s="5" t="s">
        <v>1496</v>
      </c>
      <c r="J13" s="5" t="str">
        <f t="shared" si="0"/>
        <v>BULK/HOSPITALS</v>
      </c>
      <c r="L13" s="11">
        <f>SUMIF(D:D,D4,H:H)</f>
        <v>230939.78000000012</v>
      </c>
      <c r="M13" s="5">
        <f>SUMIF(D:D,D8,H:H)</f>
        <v>428024.61000000028</v>
      </c>
      <c r="N13" s="5" t="s">
        <v>1559</v>
      </c>
    </row>
    <row r="14" spans="1:14" x14ac:dyDescent="0.25">
      <c r="A14" s="5">
        <v>5013</v>
      </c>
      <c r="B14" s="6">
        <v>45749</v>
      </c>
      <c r="C14" s="5" t="s">
        <v>20</v>
      </c>
      <c r="D14" s="5" t="s">
        <v>1535</v>
      </c>
      <c r="E14" s="5">
        <v>5</v>
      </c>
      <c r="F14" s="5" t="s">
        <v>642</v>
      </c>
      <c r="G14" s="5">
        <v>20</v>
      </c>
      <c r="H14" s="5">
        <v>297.5</v>
      </c>
      <c r="I14" s="5" t="s">
        <v>820</v>
      </c>
      <c r="J14" s="5" t="str">
        <f t="shared" si="0"/>
        <v>REGULAR</v>
      </c>
      <c r="M14" s="5">
        <f>SUMIF(D:D,D55,H:H)</f>
        <v>5678.1399999999994</v>
      </c>
      <c r="N14" s="12" t="s">
        <v>1561</v>
      </c>
    </row>
    <row r="15" spans="1:14" x14ac:dyDescent="0.25">
      <c r="A15" s="5">
        <v>5014</v>
      </c>
      <c r="B15" s="6">
        <v>45749</v>
      </c>
      <c r="C15" s="5" t="s">
        <v>21</v>
      </c>
      <c r="D15" s="5" t="s">
        <v>1538</v>
      </c>
      <c r="E15" s="5">
        <v>2</v>
      </c>
      <c r="F15" s="5" t="s">
        <v>643</v>
      </c>
      <c r="G15" s="5">
        <v>1</v>
      </c>
      <c r="H15" s="5">
        <v>588</v>
      </c>
      <c r="I15" s="5" t="s">
        <v>1497</v>
      </c>
      <c r="J15" s="5" t="str">
        <f t="shared" si="0"/>
        <v>RETAIL</v>
      </c>
      <c r="L15" s="5" t="s">
        <v>1553</v>
      </c>
    </row>
    <row r="16" spans="1:14" x14ac:dyDescent="0.25">
      <c r="A16" s="5">
        <v>5015</v>
      </c>
      <c r="B16" s="6">
        <v>45749</v>
      </c>
      <c r="C16" s="5" t="s">
        <v>22</v>
      </c>
      <c r="D16" s="5" t="s">
        <v>1538</v>
      </c>
      <c r="E16" s="5">
        <v>2</v>
      </c>
      <c r="F16" s="5" t="s">
        <v>644</v>
      </c>
      <c r="G16" s="5">
        <v>2</v>
      </c>
      <c r="H16" s="5">
        <v>240</v>
      </c>
      <c r="I16" s="5" t="s">
        <v>828</v>
      </c>
      <c r="J16" s="5" t="str">
        <f t="shared" si="0"/>
        <v>RETAIL</v>
      </c>
      <c r="L16" s="5">
        <f>COUNTIF(D:D,D3)</f>
        <v>20</v>
      </c>
    </row>
    <row r="17" spans="1:14" x14ac:dyDescent="0.25">
      <c r="A17" s="5">
        <v>5016</v>
      </c>
      <c r="B17" s="6">
        <v>45749</v>
      </c>
      <c r="C17" s="5" t="s">
        <v>23</v>
      </c>
      <c r="D17" s="5" t="s">
        <v>1538</v>
      </c>
      <c r="E17" s="5">
        <v>2</v>
      </c>
      <c r="F17" s="5" t="s">
        <v>645</v>
      </c>
      <c r="G17" s="5">
        <v>1</v>
      </c>
      <c r="H17" s="5">
        <v>110</v>
      </c>
      <c r="I17" s="5" t="s">
        <v>828</v>
      </c>
      <c r="J17" s="5" t="str">
        <f t="shared" si="0"/>
        <v>RETAIL</v>
      </c>
    </row>
    <row r="18" spans="1:14" x14ac:dyDescent="0.25">
      <c r="A18" s="5">
        <v>5017</v>
      </c>
      <c r="B18" s="6">
        <v>45749</v>
      </c>
      <c r="C18" s="5" t="s">
        <v>24</v>
      </c>
      <c r="D18" s="5" t="s">
        <v>1538</v>
      </c>
      <c r="E18" s="5">
        <v>5</v>
      </c>
      <c r="F18" s="5" t="s">
        <v>646</v>
      </c>
      <c r="G18" s="5">
        <v>10</v>
      </c>
      <c r="H18" s="5">
        <v>118</v>
      </c>
      <c r="I18" s="5" t="s">
        <v>890</v>
      </c>
      <c r="J18" s="5" t="str">
        <f t="shared" si="0"/>
        <v>REGULAR</v>
      </c>
      <c r="M18" s="5">
        <f>SUMIF(J:J,J2,H:H)</f>
        <v>194044.01000000007</v>
      </c>
      <c r="N18" s="5" t="s">
        <v>1550</v>
      </c>
    </row>
    <row r="19" spans="1:14" x14ac:dyDescent="0.25">
      <c r="A19" s="5">
        <v>5018</v>
      </c>
      <c r="B19" s="6">
        <v>45749</v>
      </c>
      <c r="C19" s="5" t="s">
        <v>25</v>
      </c>
      <c r="D19" s="5" t="s">
        <v>1538</v>
      </c>
      <c r="E19" s="5">
        <v>2</v>
      </c>
      <c r="F19" s="5" t="s">
        <v>647</v>
      </c>
      <c r="G19" s="5">
        <v>1</v>
      </c>
      <c r="H19" s="5">
        <v>360</v>
      </c>
      <c r="I19" s="5" t="s">
        <v>1498</v>
      </c>
      <c r="J19" s="5" t="str">
        <f t="shared" si="0"/>
        <v>RETAIL</v>
      </c>
      <c r="M19" s="5">
        <f>SUMIF(J:J,J3,H:H)</f>
        <v>73030.38</v>
      </c>
      <c r="N19" s="5" t="s">
        <v>1551</v>
      </c>
    </row>
    <row r="20" spans="1:14" x14ac:dyDescent="0.25">
      <c r="A20" s="5">
        <v>5019</v>
      </c>
      <c r="B20" s="6">
        <v>45749</v>
      </c>
      <c r="C20" s="5" t="s">
        <v>26</v>
      </c>
      <c r="D20" s="5" t="s">
        <v>1535</v>
      </c>
      <c r="E20" s="5">
        <v>5</v>
      </c>
      <c r="F20" s="5" t="s">
        <v>648</v>
      </c>
      <c r="G20" s="5">
        <v>24</v>
      </c>
      <c r="H20" s="5">
        <v>633.16</v>
      </c>
      <c r="I20" s="5" t="s">
        <v>1499</v>
      </c>
      <c r="J20" s="5" t="str">
        <f t="shared" si="0"/>
        <v>BULK/HOSPITALS</v>
      </c>
      <c r="M20" s="5">
        <f>SUMIF(J:J,J4,H:H)</f>
        <v>410353.18999999994</v>
      </c>
      <c r="N20" s="5" t="s">
        <v>1562</v>
      </c>
    </row>
    <row r="21" spans="1:14" x14ac:dyDescent="0.25">
      <c r="A21" s="5">
        <v>5020</v>
      </c>
      <c r="B21" s="6">
        <v>45749</v>
      </c>
      <c r="C21" s="5" t="s">
        <v>27</v>
      </c>
      <c r="D21" s="5" t="s">
        <v>1538</v>
      </c>
      <c r="E21" s="5">
        <v>5</v>
      </c>
      <c r="F21" s="5" t="s">
        <v>649</v>
      </c>
      <c r="G21" s="5">
        <v>14</v>
      </c>
      <c r="H21" s="5">
        <v>8749</v>
      </c>
      <c r="I21" s="5" t="s">
        <v>822</v>
      </c>
      <c r="J21" s="5" t="str">
        <f t="shared" si="0"/>
        <v>REGULAR</v>
      </c>
    </row>
    <row r="22" spans="1:14" x14ac:dyDescent="0.25">
      <c r="A22" s="5">
        <v>5021</v>
      </c>
      <c r="B22" s="6">
        <v>45749</v>
      </c>
      <c r="C22" s="5" t="s">
        <v>28</v>
      </c>
      <c r="D22" s="5" t="s">
        <v>1538</v>
      </c>
      <c r="E22" s="5">
        <v>2</v>
      </c>
      <c r="F22" s="5" t="s">
        <v>650</v>
      </c>
      <c r="G22" s="5">
        <v>1</v>
      </c>
      <c r="H22" s="5">
        <v>572</v>
      </c>
      <c r="I22" s="5" t="s">
        <v>1500</v>
      </c>
      <c r="J22" s="5" t="str">
        <f t="shared" si="0"/>
        <v>RETAIL</v>
      </c>
    </row>
    <row r="23" spans="1:14" x14ac:dyDescent="0.25">
      <c r="A23" s="5">
        <v>5022</v>
      </c>
      <c r="B23" s="6">
        <v>45750</v>
      </c>
      <c r="C23" s="5" t="s">
        <v>29</v>
      </c>
      <c r="D23" s="5" t="s">
        <v>1538</v>
      </c>
      <c r="E23" s="5">
        <v>5</v>
      </c>
      <c r="F23" s="5" t="s">
        <v>651</v>
      </c>
      <c r="G23" s="5">
        <v>22</v>
      </c>
      <c r="H23" s="5">
        <v>12430</v>
      </c>
      <c r="I23" s="5" t="s">
        <v>1501</v>
      </c>
      <c r="J23" s="5" t="str">
        <f t="shared" si="0"/>
        <v>BULK/HOSPITALS</v>
      </c>
    </row>
    <row r="24" spans="1:14" x14ac:dyDescent="0.25">
      <c r="A24" s="5">
        <v>5023</v>
      </c>
      <c r="B24" s="6">
        <v>45750</v>
      </c>
      <c r="C24" s="5" t="s">
        <v>30</v>
      </c>
      <c r="D24" s="5" t="s">
        <v>1538</v>
      </c>
      <c r="E24" s="5">
        <v>2</v>
      </c>
      <c r="F24" s="5" t="s">
        <v>652</v>
      </c>
      <c r="G24" s="5">
        <v>3</v>
      </c>
      <c r="H24" s="5">
        <v>2394</v>
      </c>
      <c r="I24" s="5" t="s">
        <v>1501</v>
      </c>
      <c r="J24" s="5" t="str">
        <f t="shared" si="0"/>
        <v>REGULAR</v>
      </c>
    </row>
    <row r="25" spans="1:14" x14ac:dyDescent="0.25">
      <c r="A25" s="5">
        <v>5024</v>
      </c>
      <c r="B25" s="6">
        <v>45750</v>
      </c>
      <c r="C25" s="5" t="s">
        <v>31</v>
      </c>
      <c r="D25" s="5" t="s">
        <v>1536</v>
      </c>
      <c r="E25" s="5">
        <v>2</v>
      </c>
      <c r="F25" s="5" t="s">
        <v>653</v>
      </c>
      <c r="G25" s="5">
        <v>1</v>
      </c>
      <c r="H25" s="5">
        <v>365</v>
      </c>
      <c r="I25" s="5" t="s">
        <v>1502</v>
      </c>
      <c r="J25" s="5" t="str">
        <f t="shared" si="0"/>
        <v>RETAIL</v>
      </c>
    </row>
    <row r="26" spans="1:14" x14ac:dyDescent="0.25">
      <c r="A26" s="5">
        <v>5025</v>
      </c>
      <c r="B26" s="6">
        <v>45750</v>
      </c>
      <c r="C26" s="5" t="s">
        <v>32</v>
      </c>
      <c r="D26" s="5" t="s">
        <v>1535</v>
      </c>
      <c r="E26" s="5">
        <v>5</v>
      </c>
      <c r="F26" s="5" t="s">
        <v>654</v>
      </c>
      <c r="G26" s="5">
        <v>30</v>
      </c>
      <c r="H26" s="5">
        <v>1048.92</v>
      </c>
      <c r="I26" s="5" t="s">
        <v>1503</v>
      </c>
      <c r="J26" s="5" t="str">
        <f t="shared" si="0"/>
        <v>BULK/HOSPITALS</v>
      </c>
    </row>
    <row r="27" spans="1:14" x14ac:dyDescent="0.25">
      <c r="A27" s="5">
        <v>5026</v>
      </c>
      <c r="B27" s="6">
        <v>45750</v>
      </c>
      <c r="C27" s="5" t="s">
        <v>33</v>
      </c>
      <c r="D27" s="5" t="s">
        <v>1535</v>
      </c>
      <c r="E27" s="5">
        <v>5</v>
      </c>
      <c r="F27" s="5" t="s">
        <v>655</v>
      </c>
      <c r="G27" s="5">
        <v>10</v>
      </c>
      <c r="H27" s="5">
        <v>20.059999999999999</v>
      </c>
      <c r="I27" s="5" t="s">
        <v>844</v>
      </c>
      <c r="J27" s="5" t="str">
        <f t="shared" si="0"/>
        <v>REGULAR</v>
      </c>
    </row>
    <row r="28" spans="1:14" x14ac:dyDescent="0.25">
      <c r="A28" s="5">
        <v>5027</v>
      </c>
      <c r="B28" s="6">
        <v>45750</v>
      </c>
      <c r="C28" s="5" t="s">
        <v>34</v>
      </c>
      <c r="D28" s="5" t="s">
        <v>1536</v>
      </c>
      <c r="E28" s="5">
        <v>2</v>
      </c>
      <c r="F28" s="5" t="s">
        <v>656</v>
      </c>
      <c r="G28" s="5">
        <v>1</v>
      </c>
      <c r="H28" s="5">
        <v>120</v>
      </c>
      <c r="I28" s="5" t="s">
        <v>1398</v>
      </c>
      <c r="J28" s="5" t="str">
        <f t="shared" si="0"/>
        <v>RETAIL</v>
      </c>
    </row>
    <row r="29" spans="1:14" x14ac:dyDescent="0.25">
      <c r="A29" s="5">
        <v>5028</v>
      </c>
      <c r="B29" s="6">
        <v>45750</v>
      </c>
      <c r="C29" s="5" t="s">
        <v>35</v>
      </c>
      <c r="D29" s="5" t="s">
        <v>1536</v>
      </c>
      <c r="E29" s="5">
        <v>2</v>
      </c>
      <c r="F29" s="5" t="s">
        <v>657</v>
      </c>
      <c r="G29" s="5">
        <v>1</v>
      </c>
      <c r="H29" s="5">
        <v>129</v>
      </c>
      <c r="I29" s="5" t="s">
        <v>1496</v>
      </c>
      <c r="J29" s="5" t="str">
        <f t="shared" si="0"/>
        <v>RETAIL</v>
      </c>
    </row>
    <row r="30" spans="1:14" x14ac:dyDescent="0.25">
      <c r="A30" s="5">
        <v>5029</v>
      </c>
      <c r="B30" s="6">
        <v>45750</v>
      </c>
      <c r="C30" s="5" t="s">
        <v>36</v>
      </c>
      <c r="D30" s="5" t="s">
        <v>1538</v>
      </c>
      <c r="E30" s="5">
        <v>5</v>
      </c>
      <c r="F30" s="5" t="s">
        <v>658</v>
      </c>
      <c r="G30" s="5">
        <v>10</v>
      </c>
      <c r="H30" s="5">
        <v>27.33</v>
      </c>
      <c r="I30" s="5" t="s">
        <v>1398</v>
      </c>
      <c r="J30" s="5" t="str">
        <f t="shared" si="0"/>
        <v>REGULAR</v>
      </c>
    </row>
    <row r="31" spans="1:14" x14ac:dyDescent="0.25">
      <c r="A31" s="5">
        <v>5030</v>
      </c>
      <c r="B31" s="6">
        <v>45750</v>
      </c>
      <c r="C31" s="5" t="s">
        <v>37</v>
      </c>
      <c r="D31" s="5" t="s">
        <v>1538</v>
      </c>
      <c r="E31" s="5">
        <v>5</v>
      </c>
      <c r="F31" s="5" t="s">
        <v>659</v>
      </c>
      <c r="G31" s="5">
        <v>40</v>
      </c>
      <c r="H31" s="5">
        <v>329.48</v>
      </c>
      <c r="I31" s="5" t="s">
        <v>1496</v>
      </c>
      <c r="J31" s="5" t="str">
        <f t="shared" si="0"/>
        <v>BULK/HOSPITALS</v>
      </c>
    </row>
    <row r="32" spans="1:14" x14ac:dyDescent="0.25">
      <c r="A32" s="5">
        <v>5031</v>
      </c>
      <c r="B32" s="6">
        <v>45750</v>
      </c>
      <c r="C32" s="5" t="s">
        <v>38</v>
      </c>
      <c r="D32" s="5" t="s">
        <v>1538</v>
      </c>
      <c r="E32" s="5">
        <v>7</v>
      </c>
      <c r="F32" s="5" t="s">
        <v>660</v>
      </c>
      <c r="G32" s="5">
        <v>60</v>
      </c>
      <c r="H32" s="5">
        <v>494.22</v>
      </c>
      <c r="I32" s="5" t="s">
        <v>1496</v>
      </c>
      <c r="J32" s="5" t="str">
        <f t="shared" si="0"/>
        <v>BULK/HOSPITALS</v>
      </c>
    </row>
    <row r="33" spans="1:10" x14ac:dyDescent="0.25">
      <c r="A33" s="5">
        <v>5032</v>
      </c>
      <c r="B33" s="6">
        <v>45751</v>
      </c>
      <c r="C33" s="5" t="s">
        <v>39</v>
      </c>
      <c r="D33" s="5" t="s">
        <v>1535</v>
      </c>
      <c r="E33" s="5">
        <v>5</v>
      </c>
      <c r="F33" s="5" t="s">
        <v>661</v>
      </c>
      <c r="G33" s="5">
        <v>10</v>
      </c>
      <c r="H33" s="5">
        <v>69.7</v>
      </c>
      <c r="I33" s="5" t="s">
        <v>1504</v>
      </c>
      <c r="J33" s="5" t="str">
        <f t="shared" si="0"/>
        <v>REGULAR</v>
      </c>
    </row>
    <row r="34" spans="1:10" x14ac:dyDescent="0.25">
      <c r="A34" s="5">
        <v>5033</v>
      </c>
      <c r="B34" s="6">
        <v>45751</v>
      </c>
      <c r="C34" s="5" t="s">
        <v>40</v>
      </c>
      <c r="D34" s="5" t="s">
        <v>1535</v>
      </c>
      <c r="E34" s="5">
        <v>5</v>
      </c>
      <c r="F34" s="5" t="s">
        <v>662</v>
      </c>
      <c r="G34" s="5">
        <v>15</v>
      </c>
      <c r="H34" s="5">
        <v>59.34</v>
      </c>
      <c r="I34" s="5" t="s">
        <v>1505</v>
      </c>
      <c r="J34" s="5" t="str">
        <f t="shared" si="0"/>
        <v>REGULAR</v>
      </c>
    </row>
    <row r="35" spans="1:10" x14ac:dyDescent="0.25">
      <c r="A35" s="5">
        <v>5034</v>
      </c>
      <c r="B35" s="6">
        <v>45751</v>
      </c>
      <c r="C35" s="5" t="s">
        <v>41</v>
      </c>
      <c r="D35" s="5" t="s">
        <v>1535</v>
      </c>
      <c r="E35" s="5">
        <v>7</v>
      </c>
      <c r="F35" s="5" t="s">
        <v>663</v>
      </c>
      <c r="G35" s="5">
        <v>60</v>
      </c>
      <c r="H35" s="5">
        <v>370.8</v>
      </c>
      <c r="I35" s="5" t="s">
        <v>1506</v>
      </c>
      <c r="J35" s="5" t="str">
        <f t="shared" si="0"/>
        <v>BULK/HOSPITALS</v>
      </c>
    </row>
    <row r="36" spans="1:10" x14ac:dyDescent="0.25">
      <c r="A36" s="5">
        <v>5035</v>
      </c>
      <c r="B36" s="6">
        <v>45751</v>
      </c>
      <c r="C36" s="5" t="s">
        <v>42</v>
      </c>
      <c r="D36" s="5" t="s">
        <v>1535</v>
      </c>
      <c r="E36" s="5">
        <v>5</v>
      </c>
      <c r="F36" s="5" t="s">
        <v>664</v>
      </c>
      <c r="G36" s="5">
        <v>30</v>
      </c>
      <c r="H36" s="5">
        <v>84</v>
      </c>
      <c r="I36" s="5" t="s">
        <v>1506</v>
      </c>
      <c r="J36" s="5" t="str">
        <f t="shared" si="0"/>
        <v>BULK/HOSPITALS</v>
      </c>
    </row>
    <row r="37" spans="1:10" x14ac:dyDescent="0.25">
      <c r="A37" s="5">
        <v>5036</v>
      </c>
      <c r="B37" s="6">
        <v>45751</v>
      </c>
      <c r="C37" s="5" t="s">
        <v>43</v>
      </c>
      <c r="D37" s="5" t="s">
        <v>1535</v>
      </c>
      <c r="E37" s="5">
        <v>7</v>
      </c>
      <c r="F37" s="5" t="s">
        <v>665</v>
      </c>
      <c r="G37" s="5">
        <v>60</v>
      </c>
      <c r="H37" s="5">
        <v>1024.02</v>
      </c>
      <c r="I37" s="5" t="s">
        <v>1506</v>
      </c>
      <c r="J37" s="5" t="str">
        <f t="shared" si="0"/>
        <v>BULK/HOSPITALS</v>
      </c>
    </row>
    <row r="38" spans="1:10" x14ac:dyDescent="0.25">
      <c r="A38" s="5">
        <v>5037</v>
      </c>
      <c r="B38" s="6">
        <v>45751</v>
      </c>
      <c r="C38" s="5" t="s">
        <v>44</v>
      </c>
      <c r="D38" s="5" t="s">
        <v>1535</v>
      </c>
      <c r="E38" s="5">
        <v>10</v>
      </c>
      <c r="F38" s="5" t="s">
        <v>666</v>
      </c>
      <c r="G38" s="5">
        <v>524</v>
      </c>
      <c r="H38" s="5">
        <v>16239.3</v>
      </c>
      <c r="I38" s="5" t="s">
        <v>1507</v>
      </c>
      <c r="J38" s="5" t="str">
        <f t="shared" si="0"/>
        <v>BULK/HOSPITALS</v>
      </c>
    </row>
    <row r="39" spans="1:10" x14ac:dyDescent="0.25">
      <c r="A39" s="5">
        <v>5038</v>
      </c>
      <c r="B39" s="6">
        <v>45751</v>
      </c>
      <c r="C39" s="5" t="s">
        <v>45</v>
      </c>
      <c r="D39" s="5" t="s">
        <v>1535</v>
      </c>
      <c r="E39" s="5">
        <v>10</v>
      </c>
      <c r="F39" s="5" t="s">
        <v>667</v>
      </c>
      <c r="G39" s="5">
        <v>212</v>
      </c>
      <c r="H39" s="5">
        <v>4304.71</v>
      </c>
      <c r="I39" s="5" t="s">
        <v>1507</v>
      </c>
      <c r="J39" s="5" t="str">
        <f t="shared" si="0"/>
        <v>BULK/HOSPITALS</v>
      </c>
    </row>
    <row r="40" spans="1:10" x14ac:dyDescent="0.25">
      <c r="A40" s="5">
        <v>5039</v>
      </c>
      <c r="B40" s="6">
        <v>45751</v>
      </c>
      <c r="C40" s="5" t="s">
        <v>46</v>
      </c>
      <c r="D40" s="5" t="s">
        <v>1538</v>
      </c>
      <c r="E40" s="5">
        <v>2</v>
      </c>
      <c r="F40" s="5" t="s">
        <v>668</v>
      </c>
      <c r="G40" s="5">
        <v>1</v>
      </c>
      <c r="H40" s="5">
        <v>1300</v>
      </c>
      <c r="I40" s="5" t="s">
        <v>1508</v>
      </c>
      <c r="J40" s="5" t="str">
        <f t="shared" si="0"/>
        <v>RETAIL</v>
      </c>
    </row>
    <row r="41" spans="1:10" x14ac:dyDescent="0.25">
      <c r="A41" s="5">
        <v>5040</v>
      </c>
      <c r="B41" s="6">
        <v>45751</v>
      </c>
      <c r="C41" s="5" t="s">
        <v>47</v>
      </c>
      <c r="D41" s="5" t="s">
        <v>1538</v>
      </c>
      <c r="E41" s="5">
        <v>2</v>
      </c>
      <c r="F41" s="5" t="s">
        <v>669</v>
      </c>
      <c r="G41" s="5">
        <v>1</v>
      </c>
      <c r="H41" s="5">
        <v>94</v>
      </c>
      <c r="I41" s="5" t="s">
        <v>1509</v>
      </c>
      <c r="J41" s="5" t="str">
        <f t="shared" si="0"/>
        <v>RETAIL</v>
      </c>
    </row>
    <row r="42" spans="1:10" x14ac:dyDescent="0.25">
      <c r="A42" s="5">
        <v>5041</v>
      </c>
      <c r="B42" s="6">
        <v>45751</v>
      </c>
      <c r="C42" s="5" t="s">
        <v>48</v>
      </c>
      <c r="D42" s="5" t="s">
        <v>1538</v>
      </c>
      <c r="E42" s="5">
        <v>5</v>
      </c>
      <c r="F42" s="5" t="s">
        <v>670</v>
      </c>
      <c r="G42" s="5">
        <v>15</v>
      </c>
      <c r="H42" s="5">
        <v>1528</v>
      </c>
      <c r="I42" s="5" t="s">
        <v>1509</v>
      </c>
      <c r="J42" s="5" t="str">
        <f t="shared" si="0"/>
        <v>REGULAR</v>
      </c>
    </row>
    <row r="43" spans="1:10" x14ac:dyDescent="0.25">
      <c r="A43" s="5">
        <v>5042</v>
      </c>
      <c r="B43" s="6">
        <v>45752</v>
      </c>
      <c r="C43" s="5" t="s">
        <v>49</v>
      </c>
      <c r="D43" s="5" t="s">
        <v>1538</v>
      </c>
      <c r="E43" s="5">
        <v>5</v>
      </c>
      <c r="F43" s="5" t="s">
        <v>671</v>
      </c>
      <c r="G43" s="5">
        <v>14</v>
      </c>
      <c r="H43" s="5">
        <v>1970</v>
      </c>
      <c r="I43" s="5" t="s">
        <v>1509</v>
      </c>
      <c r="J43" s="5" t="str">
        <f t="shared" si="0"/>
        <v>REGULAR</v>
      </c>
    </row>
    <row r="44" spans="1:10" x14ac:dyDescent="0.25">
      <c r="A44" s="5">
        <v>5043</v>
      </c>
      <c r="B44" s="6">
        <v>45752</v>
      </c>
      <c r="C44" s="5" t="s">
        <v>50</v>
      </c>
      <c r="D44" s="5" t="s">
        <v>1538</v>
      </c>
      <c r="E44" s="5">
        <v>2</v>
      </c>
      <c r="F44" s="5" t="s">
        <v>672</v>
      </c>
      <c r="G44" s="5">
        <v>2</v>
      </c>
      <c r="H44" s="5">
        <v>90</v>
      </c>
      <c r="I44" s="5" t="s">
        <v>1509</v>
      </c>
      <c r="J44" s="5" t="str">
        <f t="shared" si="0"/>
        <v>RETAIL</v>
      </c>
    </row>
    <row r="45" spans="1:10" x14ac:dyDescent="0.25">
      <c r="A45" s="5">
        <v>5044</v>
      </c>
      <c r="B45" s="6">
        <v>45752</v>
      </c>
      <c r="C45" s="5" t="s">
        <v>51</v>
      </c>
      <c r="D45" s="5" t="s">
        <v>1538</v>
      </c>
      <c r="E45" s="5">
        <v>2</v>
      </c>
      <c r="F45" s="5" t="s">
        <v>673</v>
      </c>
      <c r="G45" s="5">
        <v>1</v>
      </c>
      <c r="H45" s="5">
        <v>66</v>
      </c>
      <c r="I45" s="5" t="s">
        <v>1509</v>
      </c>
      <c r="J45" s="5" t="str">
        <f t="shared" si="0"/>
        <v>RETAIL</v>
      </c>
    </row>
    <row r="46" spans="1:10" x14ac:dyDescent="0.25">
      <c r="A46" s="5">
        <v>5045</v>
      </c>
      <c r="B46" s="6">
        <v>45752</v>
      </c>
      <c r="C46" s="5" t="s">
        <v>52</v>
      </c>
      <c r="D46" s="5" t="s">
        <v>1538</v>
      </c>
      <c r="E46" s="5">
        <v>2</v>
      </c>
      <c r="F46" s="5" t="s">
        <v>674</v>
      </c>
      <c r="G46" s="5">
        <v>1</v>
      </c>
      <c r="H46" s="5">
        <v>44</v>
      </c>
      <c r="I46" s="5" t="s">
        <v>1509</v>
      </c>
      <c r="J46" s="5" t="str">
        <f t="shared" si="0"/>
        <v>RETAIL</v>
      </c>
    </row>
    <row r="47" spans="1:10" x14ac:dyDescent="0.25">
      <c r="A47" s="5">
        <v>5046</v>
      </c>
      <c r="B47" s="6">
        <v>45752</v>
      </c>
      <c r="C47" s="5" t="s">
        <v>53</v>
      </c>
      <c r="D47" s="5" t="s">
        <v>1538</v>
      </c>
      <c r="E47" s="5">
        <v>2</v>
      </c>
      <c r="F47" s="5" t="s">
        <v>675</v>
      </c>
      <c r="G47" s="5">
        <v>1</v>
      </c>
      <c r="H47" s="5">
        <v>1390</v>
      </c>
      <c r="I47" s="5" t="s">
        <v>948</v>
      </c>
      <c r="J47" s="5" t="str">
        <f t="shared" si="0"/>
        <v>RETAIL</v>
      </c>
    </row>
    <row r="48" spans="1:10" x14ac:dyDescent="0.25">
      <c r="A48" s="5">
        <v>5047</v>
      </c>
      <c r="B48" s="6">
        <v>45752</v>
      </c>
      <c r="C48" s="5" t="s">
        <v>54</v>
      </c>
      <c r="D48" s="5" t="s">
        <v>1535</v>
      </c>
      <c r="E48" s="5">
        <v>5</v>
      </c>
      <c r="F48" s="5" t="s">
        <v>676</v>
      </c>
      <c r="G48" s="5">
        <v>30</v>
      </c>
      <c r="H48" s="5">
        <v>840</v>
      </c>
      <c r="I48" s="5" t="s">
        <v>1510</v>
      </c>
      <c r="J48" s="5" t="str">
        <f t="shared" si="0"/>
        <v>BULK/HOSPITALS</v>
      </c>
    </row>
    <row r="49" spans="1:10" x14ac:dyDescent="0.25">
      <c r="A49" s="5">
        <v>5048</v>
      </c>
      <c r="B49" s="6">
        <v>45752</v>
      </c>
      <c r="C49" s="5" t="s">
        <v>55</v>
      </c>
      <c r="D49" s="5" t="s">
        <v>1538</v>
      </c>
      <c r="E49" s="5">
        <v>10</v>
      </c>
      <c r="F49" s="5" t="s">
        <v>677</v>
      </c>
      <c r="G49" s="5">
        <v>180</v>
      </c>
      <c r="H49" s="5">
        <v>1724.4</v>
      </c>
      <c r="I49" s="5" t="s">
        <v>982</v>
      </c>
      <c r="J49" s="5" t="str">
        <f t="shared" si="0"/>
        <v>BULK/HOSPITALS</v>
      </c>
    </row>
    <row r="50" spans="1:10" x14ac:dyDescent="0.25">
      <c r="A50" s="5">
        <v>5049</v>
      </c>
      <c r="B50" s="6">
        <v>45753</v>
      </c>
      <c r="C50" s="5" t="s">
        <v>56</v>
      </c>
      <c r="D50" s="5" t="s">
        <v>1538</v>
      </c>
      <c r="E50" s="5">
        <v>2</v>
      </c>
      <c r="F50" s="5" t="s">
        <v>678</v>
      </c>
      <c r="G50" s="5">
        <v>3</v>
      </c>
      <c r="H50" s="5">
        <v>1575</v>
      </c>
      <c r="I50" s="5" t="s">
        <v>1511</v>
      </c>
      <c r="J50" s="5" t="str">
        <f t="shared" si="0"/>
        <v>REGULAR</v>
      </c>
    </row>
    <row r="51" spans="1:10" x14ac:dyDescent="0.25">
      <c r="A51" s="5">
        <v>5050</v>
      </c>
      <c r="B51" s="6">
        <v>45753</v>
      </c>
      <c r="C51" s="5" t="s">
        <v>57</v>
      </c>
      <c r="D51" s="5" t="s">
        <v>1535</v>
      </c>
      <c r="E51" s="5">
        <v>5</v>
      </c>
      <c r="F51" s="5" t="s">
        <v>679</v>
      </c>
      <c r="G51" s="5">
        <v>30</v>
      </c>
      <c r="H51" s="5">
        <v>318.95999999999998</v>
      </c>
      <c r="I51" s="5" t="s">
        <v>1512</v>
      </c>
      <c r="J51" s="5" t="str">
        <f t="shared" si="0"/>
        <v>BULK/HOSPITALS</v>
      </c>
    </row>
    <row r="52" spans="1:10" x14ac:dyDescent="0.25">
      <c r="A52" s="5">
        <v>5051</v>
      </c>
      <c r="B52" s="6">
        <v>45753</v>
      </c>
      <c r="C52" s="5" t="s">
        <v>58</v>
      </c>
      <c r="D52" s="5" t="s">
        <v>1535</v>
      </c>
      <c r="E52" s="5">
        <v>5</v>
      </c>
      <c r="F52" s="5" t="s">
        <v>680</v>
      </c>
      <c r="G52" s="5">
        <v>30</v>
      </c>
      <c r="H52" s="5">
        <v>327.42</v>
      </c>
      <c r="I52" s="5" t="s">
        <v>1512</v>
      </c>
      <c r="J52" s="5" t="str">
        <f t="shared" si="0"/>
        <v>BULK/HOSPITALS</v>
      </c>
    </row>
    <row r="53" spans="1:10" x14ac:dyDescent="0.25">
      <c r="A53" s="5">
        <v>5052</v>
      </c>
      <c r="B53" s="6">
        <v>45753</v>
      </c>
      <c r="C53" s="5" t="s">
        <v>59</v>
      </c>
      <c r="D53" s="5" t="s">
        <v>1536</v>
      </c>
      <c r="E53" s="5">
        <v>2</v>
      </c>
      <c r="F53" s="5" t="s">
        <v>681</v>
      </c>
      <c r="G53" s="5">
        <v>2</v>
      </c>
      <c r="H53" s="5">
        <v>296</v>
      </c>
      <c r="I53" s="5" t="s">
        <v>1292</v>
      </c>
      <c r="J53" s="5" t="str">
        <f t="shared" si="0"/>
        <v>RETAIL</v>
      </c>
    </row>
    <row r="54" spans="1:10" x14ac:dyDescent="0.25">
      <c r="A54" s="5">
        <v>5053</v>
      </c>
      <c r="B54" s="6">
        <v>45753</v>
      </c>
      <c r="C54" s="5" t="s">
        <v>60</v>
      </c>
      <c r="D54" s="5" t="s">
        <v>1535</v>
      </c>
      <c r="E54" s="5">
        <v>7</v>
      </c>
      <c r="F54" s="5" t="s">
        <v>777</v>
      </c>
      <c r="G54" s="5">
        <v>60</v>
      </c>
      <c r="H54" s="5">
        <v>192.78</v>
      </c>
      <c r="I54" s="5" t="s">
        <v>1513</v>
      </c>
      <c r="J54" s="5" t="str">
        <f t="shared" si="0"/>
        <v>BULK/HOSPITALS</v>
      </c>
    </row>
    <row r="55" spans="1:10" x14ac:dyDescent="0.25">
      <c r="A55" s="5">
        <v>5054</v>
      </c>
      <c r="B55" s="6">
        <v>45753</v>
      </c>
      <c r="C55" s="5" t="s">
        <v>61</v>
      </c>
      <c r="D55" s="5" t="s">
        <v>1539</v>
      </c>
      <c r="E55" s="5">
        <v>2</v>
      </c>
      <c r="F55" s="5" t="s">
        <v>778</v>
      </c>
      <c r="G55" s="5">
        <v>1</v>
      </c>
      <c r="H55" s="5">
        <v>248.9</v>
      </c>
      <c r="I55" s="5" t="s">
        <v>1514</v>
      </c>
      <c r="J55" s="5" t="str">
        <f t="shared" si="0"/>
        <v>RETAIL</v>
      </c>
    </row>
    <row r="56" spans="1:10" x14ac:dyDescent="0.25">
      <c r="A56" s="5">
        <v>5055</v>
      </c>
      <c r="B56" s="6">
        <v>45753</v>
      </c>
      <c r="C56" s="5" t="s">
        <v>62</v>
      </c>
      <c r="D56" s="5" t="s">
        <v>1538</v>
      </c>
      <c r="E56" s="5">
        <v>5</v>
      </c>
      <c r="F56" s="5" t="s">
        <v>779</v>
      </c>
      <c r="G56" s="5">
        <v>14</v>
      </c>
      <c r="H56" s="5">
        <v>2344</v>
      </c>
      <c r="I56" s="5" t="s">
        <v>822</v>
      </c>
      <c r="J56" s="5" t="str">
        <f t="shared" si="0"/>
        <v>REGULAR</v>
      </c>
    </row>
    <row r="57" spans="1:10" x14ac:dyDescent="0.25">
      <c r="A57" s="5">
        <v>5056</v>
      </c>
      <c r="B57" s="6">
        <v>45753</v>
      </c>
      <c r="C57" s="5" t="s">
        <v>63</v>
      </c>
      <c r="D57" s="5" t="s">
        <v>1536</v>
      </c>
      <c r="E57" s="5">
        <v>2</v>
      </c>
      <c r="F57" s="5" t="s">
        <v>780</v>
      </c>
      <c r="G57" s="5">
        <v>1</v>
      </c>
      <c r="H57" s="5">
        <v>154.5</v>
      </c>
      <c r="I57" s="5" t="s">
        <v>1515</v>
      </c>
      <c r="J57" s="5" t="str">
        <f t="shared" si="0"/>
        <v>RETAIL</v>
      </c>
    </row>
    <row r="58" spans="1:10" x14ac:dyDescent="0.25">
      <c r="A58" s="5">
        <v>5057</v>
      </c>
      <c r="B58" s="6">
        <v>45753</v>
      </c>
      <c r="C58" s="5" t="s">
        <v>64</v>
      </c>
      <c r="D58" s="5" t="s">
        <v>1536</v>
      </c>
      <c r="E58" s="5">
        <v>2</v>
      </c>
      <c r="F58" s="5" t="s">
        <v>780</v>
      </c>
      <c r="G58" s="5">
        <v>2</v>
      </c>
      <c r="H58" s="5">
        <v>299.35000000000002</v>
      </c>
      <c r="I58" s="5" t="s">
        <v>833</v>
      </c>
      <c r="J58" s="5" t="str">
        <f t="shared" si="0"/>
        <v>RETAIL</v>
      </c>
    </row>
    <row r="59" spans="1:10" x14ac:dyDescent="0.25">
      <c r="A59" s="5">
        <v>5058</v>
      </c>
      <c r="B59" s="6">
        <v>45753</v>
      </c>
      <c r="C59" s="5" t="s">
        <v>65</v>
      </c>
      <c r="D59" s="5" t="s">
        <v>1538</v>
      </c>
      <c r="E59" s="5">
        <v>2</v>
      </c>
      <c r="F59" s="5" t="s">
        <v>781</v>
      </c>
      <c r="G59" s="5">
        <v>1</v>
      </c>
      <c r="H59" s="5">
        <v>144.84</v>
      </c>
      <c r="I59" s="5" t="s">
        <v>1515</v>
      </c>
      <c r="J59" s="5" t="str">
        <f t="shared" si="0"/>
        <v>RETAIL</v>
      </c>
    </row>
    <row r="60" spans="1:10" x14ac:dyDescent="0.25">
      <c r="A60" s="5">
        <v>5059</v>
      </c>
      <c r="B60" s="6">
        <v>45753</v>
      </c>
      <c r="C60" s="5" t="s">
        <v>66</v>
      </c>
      <c r="D60" s="5" t="s">
        <v>1538</v>
      </c>
      <c r="E60" s="5">
        <v>2</v>
      </c>
      <c r="F60" s="5" t="s">
        <v>782</v>
      </c>
      <c r="G60" s="5">
        <v>1</v>
      </c>
      <c r="H60" s="5">
        <v>110</v>
      </c>
      <c r="I60" s="5" t="s">
        <v>828</v>
      </c>
      <c r="J60" s="5" t="str">
        <f t="shared" si="0"/>
        <v>RETAIL</v>
      </c>
    </row>
    <row r="61" spans="1:10" x14ac:dyDescent="0.25">
      <c r="A61" s="5">
        <v>5060</v>
      </c>
      <c r="B61" s="6">
        <v>45753</v>
      </c>
      <c r="C61" s="5" t="s">
        <v>67</v>
      </c>
      <c r="D61" s="5" t="s">
        <v>1538</v>
      </c>
      <c r="E61" s="5">
        <v>2</v>
      </c>
      <c r="F61" s="5" t="s">
        <v>783</v>
      </c>
      <c r="G61" s="5">
        <v>8</v>
      </c>
      <c r="H61" s="5">
        <v>1419.94</v>
      </c>
      <c r="I61" s="5" t="s">
        <v>825</v>
      </c>
      <c r="J61" s="5" t="str">
        <f t="shared" si="0"/>
        <v>REGULAR</v>
      </c>
    </row>
    <row r="62" spans="1:10" x14ac:dyDescent="0.25">
      <c r="A62" s="5">
        <v>5061</v>
      </c>
      <c r="B62" s="6">
        <v>45754</v>
      </c>
      <c r="C62" s="5" t="s">
        <v>68</v>
      </c>
      <c r="D62" s="5" t="s">
        <v>1538</v>
      </c>
      <c r="E62" s="5">
        <v>2</v>
      </c>
      <c r="F62" s="5" t="s">
        <v>784</v>
      </c>
      <c r="G62" s="5">
        <v>5</v>
      </c>
      <c r="H62" s="5">
        <v>38.85</v>
      </c>
      <c r="I62" s="5" t="s">
        <v>825</v>
      </c>
      <c r="J62" s="5" t="str">
        <f t="shared" si="0"/>
        <v>REGULAR</v>
      </c>
    </row>
    <row r="63" spans="1:10" x14ac:dyDescent="0.25">
      <c r="A63" s="5">
        <v>5062</v>
      </c>
      <c r="B63" s="6">
        <v>45754</v>
      </c>
      <c r="C63" s="5" t="s">
        <v>69</v>
      </c>
      <c r="D63" s="5" t="s">
        <v>1538</v>
      </c>
      <c r="E63" s="5">
        <v>2</v>
      </c>
      <c r="F63" s="5" t="s">
        <v>785</v>
      </c>
      <c r="G63" s="5">
        <v>1</v>
      </c>
      <c r="H63" s="5">
        <v>65.260000000000005</v>
      </c>
      <c r="I63" s="5" t="s">
        <v>825</v>
      </c>
      <c r="J63" s="5" t="str">
        <f t="shared" si="0"/>
        <v>RETAIL</v>
      </c>
    </row>
    <row r="64" spans="1:10" x14ac:dyDescent="0.25">
      <c r="A64" s="5">
        <v>5063</v>
      </c>
      <c r="B64" s="6">
        <v>45754</v>
      </c>
      <c r="C64" s="5" t="s">
        <v>70</v>
      </c>
      <c r="D64" s="5" t="s">
        <v>1535</v>
      </c>
      <c r="E64" s="5">
        <v>5</v>
      </c>
      <c r="F64" s="5" t="s">
        <v>786</v>
      </c>
      <c r="G64" s="5">
        <v>15</v>
      </c>
      <c r="H64" s="5">
        <v>57.75</v>
      </c>
      <c r="I64" s="5" t="s">
        <v>1516</v>
      </c>
      <c r="J64" s="5" t="str">
        <f t="shared" si="0"/>
        <v>REGULAR</v>
      </c>
    </row>
    <row r="65" spans="1:10" x14ac:dyDescent="0.25">
      <c r="A65" s="5">
        <v>5064</v>
      </c>
      <c r="B65" s="6">
        <v>45754</v>
      </c>
      <c r="C65" s="5" t="s">
        <v>71</v>
      </c>
      <c r="D65" s="5" t="s">
        <v>1535</v>
      </c>
      <c r="E65" s="5">
        <v>5</v>
      </c>
      <c r="F65" s="5" t="s">
        <v>787</v>
      </c>
      <c r="G65" s="5">
        <v>30</v>
      </c>
      <c r="H65" s="5">
        <v>206.49</v>
      </c>
      <c r="I65" s="5" t="s">
        <v>1516</v>
      </c>
      <c r="J65" s="5" t="str">
        <f t="shared" si="0"/>
        <v>BULK/HOSPITALS</v>
      </c>
    </row>
    <row r="66" spans="1:10" x14ac:dyDescent="0.25">
      <c r="A66" s="5">
        <v>5065</v>
      </c>
      <c r="B66" s="6">
        <v>45754</v>
      </c>
      <c r="C66" s="5" t="s">
        <v>72</v>
      </c>
      <c r="D66" s="5" t="s">
        <v>1535</v>
      </c>
      <c r="E66" s="5">
        <v>7</v>
      </c>
      <c r="F66" s="5" t="s">
        <v>788</v>
      </c>
      <c r="G66" s="5">
        <v>60</v>
      </c>
      <c r="H66" s="5">
        <v>330.16</v>
      </c>
      <c r="I66" s="5" t="s">
        <v>978</v>
      </c>
      <c r="J66" s="5" t="str">
        <f t="shared" si="0"/>
        <v>BULK/HOSPITALS</v>
      </c>
    </row>
    <row r="67" spans="1:10" x14ac:dyDescent="0.25">
      <c r="A67" s="5">
        <v>5066</v>
      </c>
      <c r="B67" s="6">
        <v>45754</v>
      </c>
      <c r="C67" s="5" t="s">
        <v>73</v>
      </c>
      <c r="D67" s="5" t="s">
        <v>1535</v>
      </c>
      <c r="E67" s="5">
        <v>5</v>
      </c>
      <c r="F67" s="5" t="s">
        <v>789</v>
      </c>
      <c r="G67" s="5">
        <v>45</v>
      </c>
      <c r="H67" s="5">
        <v>453.12</v>
      </c>
      <c r="I67" s="5" t="s">
        <v>1503</v>
      </c>
      <c r="J67" s="5" t="str">
        <f t="shared" ref="J67:J130" si="1">IF(G67&lt;=2,"RETAIL",IF(G67&lt;=20,"REGULAR",IF(G67&gt;20,"BULK/HOSPITALS")))</f>
        <v>BULK/HOSPITALS</v>
      </c>
    </row>
    <row r="68" spans="1:10" x14ac:dyDescent="0.25">
      <c r="A68" s="5">
        <v>5067</v>
      </c>
      <c r="B68" s="6">
        <v>45754</v>
      </c>
      <c r="C68" s="5" t="s">
        <v>74</v>
      </c>
      <c r="D68" s="5" t="s">
        <v>1535</v>
      </c>
      <c r="E68" s="5">
        <v>10</v>
      </c>
      <c r="F68" s="5" t="s">
        <v>790</v>
      </c>
      <c r="G68" s="5">
        <v>180</v>
      </c>
      <c r="H68" s="5">
        <v>3725.4</v>
      </c>
      <c r="I68" s="5" t="s">
        <v>1517</v>
      </c>
      <c r="J68" s="5" t="str">
        <f t="shared" si="1"/>
        <v>BULK/HOSPITALS</v>
      </c>
    </row>
    <row r="69" spans="1:10" x14ac:dyDescent="0.25">
      <c r="A69" s="5">
        <v>5068</v>
      </c>
      <c r="B69" s="6">
        <v>45754</v>
      </c>
      <c r="C69" s="5" t="s">
        <v>75</v>
      </c>
      <c r="D69" s="5" t="s">
        <v>1535</v>
      </c>
      <c r="E69" s="5">
        <v>5</v>
      </c>
      <c r="F69" s="5" t="s">
        <v>791</v>
      </c>
      <c r="G69" s="5">
        <v>14</v>
      </c>
      <c r="H69" s="5">
        <v>286.8</v>
      </c>
      <c r="I69" s="5" t="s">
        <v>1518</v>
      </c>
      <c r="J69" s="5" t="str">
        <f t="shared" si="1"/>
        <v>REGULAR</v>
      </c>
    </row>
    <row r="70" spans="1:10" x14ac:dyDescent="0.25">
      <c r="A70" s="5">
        <v>5069</v>
      </c>
      <c r="B70" s="6">
        <v>45754</v>
      </c>
      <c r="C70" s="5" t="s">
        <v>76</v>
      </c>
      <c r="D70" s="5" t="s">
        <v>1535</v>
      </c>
      <c r="E70" s="5">
        <v>7</v>
      </c>
      <c r="F70" s="5" t="s">
        <v>792</v>
      </c>
      <c r="G70" s="5">
        <v>86</v>
      </c>
      <c r="H70" s="5">
        <v>1765.35</v>
      </c>
      <c r="I70" s="5" t="s">
        <v>1519</v>
      </c>
      <c r="J70" s="5" t="str">
        <f t="shared" si="1"/>
        <v>BULK/HOSPITALS</v>
      </c>
    </row>
    <row r="71" spans="1:10" x14ac:dyDescent="0.25">
      <c r="A71" s="5">
        <v>5070</v>
      </c>
      <c r="B71" s="6">
        <v>45755</v>
      </c>
      <c r="C71" s="5" t="s">
        <v>77</v>
      </c>
      <c r="D71" s="5" t="s">
        <v>1536</v>
      </c>
      <c r="E71" s="5">
        <v>2</v>
      </c>
      <c r="F71" s="5" t="s">
        <v>793</v>
      </c>
      <c r="G71" s="5">
        <v>1</v>
      </c>
      <c r="H71" s="5">
        <v>67.540000000000006</v>
      </c>
      <c r="I71" s="5" t="s">
        <v>822</v>
      </c>
      <c r="J71" s="5" t="str">
        <f t="shared" si="1"/>
        <v>RETAIL</v>
      </c>
    </row>
    <row r="72" spans="1:10" x14ac:dyDescent="0.25">
      <c r="A72" s="5">
        <v>5071</v>
      </c>
      <c r="B72" s="6">
        <v>45755</v>
      </c>
      <c r="C72" s="5" t="s">
        <v>78</v>
      </c>
      <c r="D72" s="5" t="s">
        <v>1539</v>
      </c>
      <c r="E72" s="5">
        <v>2</v>
      </c>
      <c r="F72" s="5" t="s">
        <v>794</v>
      </c>
      <c r="G72" s="5">
        <v>5</v>
      </c>
      <c r="H72" s="5">
        <v>31.3</v>
      </c>
      <c r="I72" s="5" t="s">
        <v>879</v>
      </c>
      <c r="J72" s="5" t="str">
        <f t="shared" si="1"/>
        <v>REGULAR</v>
      </c>
    </row>
    <row r="73" spans="1:10" x14ac:dyDescent="0.25">
      <c r="A73" s="5">
        <v>5072</v>
      </c>
      <c r="B73" s="6">
        <v>45755</v>
      </c>
      <c r="C73" s="5" t="s">
        <v>79</v>
      </c>
      <c r="D73" s="5" t="s">
        <v>1535</v>
      </c>
      <c r="E73" s="5">
        <v>5</v>
      </c>
      <c r="F73" s="5" t="s">
        <v>795</v>
      </c>
      <c r="G73" s="5">
        <v>28</v>
      </c>
      <c r="H73" s="5">
        <v>982.49</v>
      </c>
      <c r="I73" s="5" t="s">
        <v>1478</v>
      </c>
      <c r="J73" s="5" t="str">
        <f t="shared" si="1"/>
        <v>BULK/HOSPITALS</v>
      </c>
    </row>
    <row r="74" spans="1:10" x14ac:dyDescent="0.25">
      <c r="A74" s="5">
        <v>5073</v>
      </c>
      <c r="B74" s="6">
        <v>45755</v>
      </c>
      <c r="C74" s="5" t="s">
        <v>80</v>
      </c>
      <c r="D74" s="5" t="s">
        <v>1535</v>
      </c>
      <c r="E74" s="5">
        <v>5</v>
      </c>
      <c r="F74" s="5" t="s">
        <v>796</v>
      </c>
      <c r="G74" s="5">
        <v>38</v>
      </c>
      <c r="H74" s="5">
        <v>993.23</v>
      </c>
      <c r="I74" s="5" t="s">
        <v>1520</v>
      </c>
      <c r="J74" s="5" t="str">
        <f t="shared" si="1"/>
        <v>BULK/HOSPITALS</v>
      </c>
    </row>
    <row r="75" spans="1:10" x14ac:dyDescent="0.25">
      <c r="A75" s="5">
        <v>5074</v>
      </c>
      <c r="B75" s="6">
        <v>45755</v>
      </c>
      <c r="C75" s="5" t="s">
        <v>81</v>
      </c>
      <c r="D75" s="5" t="s">
        <v>1535</v>
      </c>
      <c r="E75" s="5">
        <v>2</v>
      </c>
      <c r="F75" s="5" t="s">
        <v>796</v>
      </c>
      <c r="G75" s="5">
        <v>5</v>
      </c>
      <c r="H75" s="5">
        <v>131.99</v>
      </c>
      <c r="I75" s="5" t="s">
        <v>1521</v>
      </c>
      <c r="J75" s="5" t="str">
        <f t="shared" si="1"/>
        <v>REGULAR</v>
      </c>
    </row>
    <row r="76" spans="1:10" x14ac:dyDescent="0.25">
      <c r="A76" s="5">
        <v>5075</v>
      </c>
      <c r="B76" s="6">
        <v>45755</v>
      </c>
      <c r="C76" s="5" t="s">
        <v>82</v>
      </c>
      <c r="D76" s="5" t="s">
        <v>1538</v>
      </c>
      <c r="E76" s="5">
        <v>5</v>
      </c>
      <c r="F76" s="5" t="s">
        <v>797</v>
      </c>
      <c r="G76" s="5">
        <v>30</v>
      </c>
      <c r="H76" s="5">
        <v>142.02000000000001</v>
      </c>
      <c r="I76" s="5" t="s">
        <v>1478</v>
      </c>
      <c r="J76" s="5" t="str">
        <f t="shared" si="1"/>
        <v>BULK/HOSPITALS</v>
      </c>
    </row>
    <row r="77" spans="1:10" x14ac:dyDescent="0.25">
      <c r="A77" s="5">
        <v>5076</v>
      </c>
      <c r="B77" s="6">
        <v>45755</v>
      </c>
      <c r="C77" s="5" t="s">
        <v>83</v>
      </c>
      <c r="D77" s="5" t="s">
        <v>1535</v>
      </c>
      <c r="E77" s="5">
        <v>5</v>
      </c>
      <c r="F77" s="5" t="s">
        <v>798</v>
      </c>
      <c r="G77" s="5">
        <v>12</v>
      </c>
      <c r="H77" s="5">
        <v>245.96</v>
      </c>
      <c r="I77" s="5" t="s">
        <v>984</v>
      </c>
      <c r="J77" s="5" t="str">
        <f t="shared" si="1"/>
        <v>REGULAR</v>
      </c>
    </row>
    <row r="78" spans="1:10" x14ac:dyDescent="0.25">
      <c r="A78" s="5">
        <v>5077</v>
      </c>
      <c r="B78" s="6">
        <v>45755</v>
      </c>
      <c r="C78" s="5" t="s">
        <v>84</v>
      </c>
      <c r="D78" s="5" t="s">
        <v>1538</v>
      </c>
      <c r="E78" s="5">
        <v>2</v>
      </c>
      <c r="F78" s="5" t="s">
        <v>799</v>
      </c>
      <c r="G78" s="5">
        <v>1</v>
      </c>
      <c r="H78" s="5">
        <v>145</v>
      </c>
      <c r="I78" s="5" t="s">
        <v>1522</v>
      </c>
      <c r="J78" s="5" t="str">
        <f t="shared" si="1"/>
        <v>RETAIL</v>
      </c>
    </row>
    <row r="79" spans="1:10" x14ac:dyDescent="0.25">
      <c r="A79" s="5">
        <v>5078</v>
      </c>
      <c r="B79" s="6">
        <v>45755</v>
      </c>
      <c r="C79" s="5" t="s">
        <v>85</v>
      </c>
      <c r="D79" s="5" t="s">
        <v>1538</v>
      </c>
      <c r="E79" s="5">
        <v>2</v>
      </c>
      <c r="F79" s="5" t="s">
        <v>682</v>
      </c>
      <c r="G79" s="5">
        <v>1</v>
      </c>
      <c r="H79" s="5">
        <v>165</v>
      </c>
      <c r="I79" s="5" t="s">
        <v>1523</v>
      </c>
      <c r="J79" s="5" t="str">
        <f t="shared" si="1"/>
        <v>RETAIL</v>
      </c>
    </row>
    <row r="80" spans="1:10" x14ac:dyDescent="0.25">
      <c r="A80" s="5">
        <v>5079</v>
      </c>
      <c r="B80" s="6">
        <v>45755</v>
      </c>
      <c r="C80" s="5" t="s">
        <v>86</v>
      </c>
      <c r="D80" s="5" t="s">
        <v>1538</v>
      </c>
      <c r="E80" s="5">
        <v>2</v>
      </c>
      <c r="F80" s="5" t="s">
        <v>683</v>
      </c>
      <c r="G80" s="5">
        <v>2</v>
      </c>
      <c r="H80" s="5">
        <v>450</v>
      </c>
      <c r="I80" s="5" t="s">
        <v>1523</v>
      </c>
      <c r="J80" s="5" t="str">
        <f t="shared" si="1"/>
        <v>RETAIL</v>
      </c>
    </row>
    <row r="81" spans="1:10" x14ac:dyDescent="0.25">
      <c r="A81" s="5">
        <v>5080</v>
      </c>
      <c r="B81" s="6">
        <v>45755</v>
      </c>
      <c r="C81" s="5" t="s">
        <v>87</v>
      </c>
      <c r="D81" s="5" t="s">
        <v>1538</v>
      </c>
      <c r="E81" s="5">
        <v>5</v>
      </c>
      <c r="F81" s="5" t="s">
        <v>800</v>
      </c>
      <c r="G81" s="5">
        <v>29</v>
      </c>
      <c r="H81" s="5">
        <v>1160</v>
      </c>
      <c r="I81" s="5" t="s">
        <v>1524</v>
      </c>
      <c r="J81" s="5" t="str">
        <f t="shared" si="1"/>
        <v>BULK/HOSPITALS</v>
      </c>
    </row>
    <row r="82" spans="1:10" x14ac:dyDescent="0.25">
      <c r="A82" s="5">
        <v>5081</v>
      </c>
      <c r="B82" s="6">
        <v>45755</v>
      </c>
      <c r="C82" s="5" t="s">
        <v>88</v>
      </c>
      <c r="D82" s="5" t="s">
        <v>1538</v>
      </c>
      <c r="E82" s="5">
        <v>5</v>
      </c>
      <c r="F82" s="5" t="s">
        <v>801</v>
      </c>
      <c r="G82" s="5">
        <v>10</v>
      </c>
      <c r="H82" s="5">
        <v>200</v>
      </c>
      <c r="I82" s="5" t="s">
        <v>983</v>
      </c>
      <c r="J82" s="5" t="str">
        <f t="shared" si="1"/>
        <v>REGULAR</v>
      </c>
    </row>
    <row r="83" spans="1:10" x14ac:dyDescent="0.25">
      <c r="A83" s="5">
        <v>5082</v>
      </c>
      <c r="B83" s="6">
        <v>45756</v>
      </c>
      <c r="C83" s="5" t="s">
        <v>89</v>
      </c>
      <c r="D83" s="5" t="s">
        <v>1535</v>
      </c>
      <c r="E83" s="5">
        <v>2</v>
      </c>
      <c r="F83" s="5" t="s">
        <v>802</v>
      </c>
      <c r="G83" s="5">
        <v>1</v>
      </c>
      <c r="H83" s="5">
        <v>40.799999999999997</v>
      </c>
      <c r="I83" s="5" t="s">
        <v>824</v>
      </c>
      <c r="J83" s="5" t="str">
        <f t="shared" si="1"/>
        <v>RETAIL</v>
      </c>
    </row>
    <row r="84" spans="1:10" x14ac:dyDescent="0.25">
      <c r="A84" s="5">
        <v>5083</v>
      </c>
      <c r="B84" s="6">
        <v>45756</v>
      </c>
      <c r="C84" s="5" t="s">
        <v>90</v>
      </c>
      <c r="D84" s="5" t="s">
        <v>1538</v>
      </c>
      <c r="E84" s="5">
        <v>2</v>
      </c>
      <c r="F84" s="5" t="s">
        <v>684</v>
      </c>
      <c r="G84" s="5">
        <v>4</v>
      </c>
      <c r="H84" s="5">
        <v>2563.1999999999998</v>
      </c>
      <c r="I84" s="5" t="s">
        <v>1525</v>
      </c>
      <c r="J84" s="5" t="str">
        <f t="shared" si="1"/>
        <v>REGULAR</v>
      </c>
    </row>
    <row r="85" spans="1:10" x14ac:dyDescent="0.25">
      <c r="A85" s="5">
        <v>5084</v>
      </c>
      <c r="B85" s="6">
        <v>45756</v>
      </c>
      <c r="C85" s="5" t="s">
        <v>91</v>
      </c>
      <c r="D85" s="5" t="s">
        <v>1538</v>
      </c>
      <c r="E85" s="5">
        <v>2</v>
      </c>
      <c r="F85" s="5" t="s">
        <v>685</v>
      </c>
      <c r="G85" s="5">
        <v>2</v>
      </c>
      <c r="H85" s="5">
        <v>20.6</v>
      </c>
      <c r="I85" s="5" t="s">
        <v>1526</v>
      </c>
      <c r="J85" s="5" t="str">
        <f t="shared" si="1"/>
        <v>RETAIL</v>
      </c>
    </row>
    <row r="86" spans="1:10" x14ac:dyDescent="0.25">
      <c r="A86" s="5">
        <v>5085</v>
      </c>
      <c r="B86" s="6">
        <v>45756</v>
      </c>
      <c r="C86" s="5" t="s">
        <v>92</v>
      </c>
      <c r="D86" s="5" t="s">
        <v>1538</v>
      </c>
      <c r="E86" s="5">
        <v>5</v>
      </c>
      <c r="F86" s="5" t="s">
        <v>803</v>
      </c>
      <c r="G86" s="5">
        <v>10</v>
      </c>
      <c r="H86" s="5">
        <v>206</v>
      </c>
      <c r="I86" s="5" t="s">
        <v>1527</v>
      </c>
      <c r="J86" s="5" t="str">
        <f t="shared" si="1"/>
        <v>REGULAR</v>
      </c>
    </row>
    <row r="87" spans="1:10" x14ac:dyDescent="0.25">
      <c r="A87" s="5">
        <v>5086</v>
      </c>
      <c r="B87" s="6">
        <v>45756</v>
      </c>
      <c r="C87" s="5" t="s">
        <v>93</v>
      </c>
      <c r="D87" s="5" t="s">
        <v>1538</v>
      </c>
      <c r="E87" s="5">
        <v>10</v>
      </c>
      <c r="F87" s="5" t="s">
        <v>804</v>
      </c>
      <c r="G87" s="5">
        <v>301</v>
      </c>
      <c r="H87" s="5">
        <v>561.97</v>
      </c>
      <c r="I87" s="5" t="s">
        <v>836</v>
      </c>
      <c r="J87" s="5" t="str">
        <f t="shared" si="1"/>
        <v>BULK/HOSPITALS</v>
      </c>
    </row>
    <row r="88" spans="1:10" x14ac:dyDescent="0.25">
      <c r="A88" s="5">
        <v>5087</v>
      </c>
      <c r="B88" s="6">
        <v>45756</v>
      </c>
      <c r="C88" s="5" t="s">
        <v>94</v>
      </c>
      <c r="D88" s="5" t="s">
        <v>1538</v>
      </c>
      <c r="E88" s="5">
        <v>10</v>
      </c>
      <c r="F88" s="5" t="s">
        <v>805</v>
      </c>
      <c r="G88" s="5">
        <v>200</v>
      </c>
      <c r="H88" s="5">
        <v>607.82000000000005</v>
      </c>
      <c r="I88" s="5" t="s">
        <v>1528</v>
      </c>
      <c r="J88" s="5" t="str">
        <f t="shared" si="1"/>
        <v>BULK/HOSPITALS</v>
      </c>
    </row>
    <row r="89" spans="1:10" x14ac:dyDescent="0.25">
      <c r="A89" s="5">
        <v>5088</v>
      </c>
      <c r="B89" s="6">
        <v>45756</v>
      </c>
      <c r="C89" s="5" t="s">
        <v>95</v>
      </c>
      <c r="D89" s="5" t="s">
        <v>1538</v>
      </c>
      <c r="E89" s="5">
        <v>5</v>
      </c>
      <c r="F89" s="5" t="s">
        <v>806</v>
      </c>
      <c r="G89" s="5">
        <v>15</v>
      </c>
      <c r="H89" s="5">
        <v>330</v>
      </c>
      <c r="I89" s="5" t="s">
        <v>1171</v>
      </c>
      <c r="J89" s="5" t="str">
        <f t="shared" si="1"/>
        <v>REGULAR</v>
      </c>
    </row>
    <row r="90" spans="1:10" x14ac:dyDescent="0.25">
      <c r="A90" s="5">
        <v>5089</v>
      </c>
      <c r="B90" s="6">
        <v>45756</v>
      </c>
      <c r="C90" s="5" t="s">
        <v>96</v>
      </c>
      <c r="D90" s="5" t="s">
        <v>1538</v>
      </c>
      <c r="E90" s="5">
        <v>5</v>
      </c>
      <c r="F90" s="5" t="s">
        <v>687</v>
      </c>
      <c r="G90" s="5">
        <v>18</v>
      </c>
      <c r="H90" s="5">
        <v>3060</v>
      </c>
      <c r="I90" s="5" t="s">
        <v>1529</v>
      </c>
      <c r="J90" s="5" t="str">
        <f t="shared" si="1"/>
        <v>REGULAR</v>
      </c>
    </row>
    <row r="91" spans="1:10" x14ac:dyDescent="0.25">
      <c r="A91" s="5">
        <v>5090</v>
      </c>
      <c r="B91" s="6">
        <v>45756</v>
      </c>
      <c r="C91" s="5" t="s">
        <v>97</v>
      </c>
      <c r="D91" s="5" t="s">
        <v>1538</v>
      </c>
      <c r="E91" s="5">
        <v>5</v>
      </c>
      <c r="F91" s="5" t="s">
        <v>688</v>
      </c>
      <c r="G91" s="5">
        <v>11</v>
      </c>
      <c r="H91" s="5">
        <v>1512.06</v>
      </c>
      <c r="I91" s="5" t="s">
        <v>1219</v>
      </c>
      <c r="J91" s="5" t="str">
        <f t="shared" si="1"/>
        <v>REGULAR</v>
      </c>
    </row>
    <row r="92" spans="1:10" x14ac:dyDescent="0.25">
      <c r="A92" s="5">
        <v>5091</v>
      </c>
      <c r="B92" s="6">
        <v>45756</v>
      </c>
      <c r="C92" s="5" t="s">
        <v>98</v>
      </c>
      <c r="D92" s="5" t="s">
        <v>1538</v>
      </c>
      <c r="E92" s="5">
        <v>2</v>
      </c>
      <c r="F92" s="5" t="s">
        <v>807</v>
      </c>
      <c r="G92" s="5">
        <v>3</v>
      </c>
      <c r="H92" s="5">
        <v>322.42</v>
      </c>
      <c r="I92" s="5" t="s">
        <v>1219</v>
      </c>
      <c r="J92" s="5" t="str">
        <f t="shared" si="1"/>
        <v>REGULAR</v>
      </c>
    </row>
    <row r="93" spans="1:10" x14ac:dyDescent="0.25">
      <c r="A93" s="5">
        <v>5092</v>
      </c>
      <c r="B93" s="6">
        <v>45756</v>
      </c>
      <c r="C93" s="5" t="s">
        <v>99</v>
      </c>
      <c r="D93" s="5" t="s">
        <v>1538</v>
      </c>
      <c r="E93" s="5">
        <v>5</v>
      </c>
      <c r="F93" s="5" t="s">
        <v>689</v>
      </c>
      <c r="G93" s="5">
        <v>12</v>
      </c>
      <c r="H93" s="5">
        <v>3904.51</v>
      </c>
      <c r="I93" s="5" t="s">
        <v>1219</v>
      </c>
      <c r="J93" s="5" t="str">
        <f t="shared" si="1"/>
        <v>REGULAR</v>
      </c>
    </row>
    <row r="94" spans="1:10" x14ac:dyDescent="0.25">
      <c r="A94" s="5">
        <v>5093</v>
      </c>
      <c r="B94" s="6">
        <v>45756</v>
      </c>
      <c r="C94" s="5" t="s">
        <v>100</v>
      </c>
      <c r="D94" s="5" t="s">
        <v>1538</v>
      </c>
      <c r="E94" s="5">
        <v>2</v>
      </c>
      <c r="F94" s="5" t="s">
        <v>808</v>
      </c>
      <c r="G94" s="5">
        <v>1</v>
      </c>
      <c r="H94" s="5">
        <v>754.69</v>
      </c>
      <c r="I94" s="5" t="s">
        <v>1219</v>
      </c>
      <c r="J94" s="5" t="str">
        <f t="shared" si="1"/>
        <v>RETAIL</v>
      </c>
    </row>
    <row r="95" spans="1:10" x14ac:dyDescent="0.25">
      <c r="A95" s="5">
        <v>5094</v>
      </c>
      <c r="B95" s="6">
        <v>45757</v>
      </c>
      <c r="C95" s="5" t="s">
        <v>101</v>
      </c>
      <c r="D95" s="5" t="s">
        <v>1537</v>
      </c>
      <c r="E95" s="5">
        <v>2</v>
      </c>
      <c r="F95" s="5" t="s">
        <v>690</v>
      </c>
      <c r="G95" s="5">
        <v>6</v>
      </c>
      <c r="H95" s="5">
        <v>79.86</v>
      </c>
      <c r="I95" s="5" t="s">
        <v>1530</v>
      </c>
      <c r="J95" s="5" t="str">
        <f t="shared" si="1"/>
        <v>REGULAR</v>
      </c>
    </row>
    <row r="96" spans="1:10" x14ac:dyDescent="0.25">
      <c r="A96" s="5">
        <v>5095</v>
      </c>
      <c r="B96" s="6">
        <v>45757</v>
      </c>
      <c r="C96" s="5" t="s">
        <v>102</v>
      </c>
      <c r="D96" s="5" t="s">
        <v>1539</v>
      </c>
      <c r="E96" s="5">
        <v>5</v>
      </c>
      <c r="F96" s="5" t="s">
        <v>691</v>
      </c>
      <c r="G96" s="5">
        <v>14</v>
      </c>
      <c r="H96" s="5">
        <v>183.26</v>
      </c>
      <c r="I96" s="5" t="s">
        <v>1531</v>
      </c>
      <c r="J96" s="5" t="str">
        <f t="shared" si="1"/>
        <v>REGULAR</v>
      </c>
    </row>
    <row r="97" spans="1:10" x14ac:dyDescent="0.25">
      <c r="A97" s="5">
        <v>5096</v>
      </c>
      <c r="B97" s="6">
        <v>45757</v>
      </c>
      <c r="C97" s="5" t="s">
        <v>103</v>
      </c>
      <c r="D97" s="5" t="s">
        <v>1536</v>
      </c>
      <c r="E97" s="5">
        <v>2</v>
      </c>
      <c r="F97" s="5" t="s">
        <v>692</v>
      </c>
      <c r="G97" s="5">
        <v>1</v>
      </c>
      <c r="H97" s="5">
        <v>201.4</v>
      </c>
      <c r="I97" s="5" t="s">
        <v>1532</v>
      </c>
      <c r="J97" s="5" t="str">
        <f t="shared" si="1"/>
        <v>RETAIL</v>
      </c>
    </row>
    <row r="98" spans="1:10" x14ac:dyDescent="0.25">
      <c r="A98" s="5">
        <v>5097</v>
      </c>
      <c r="B98" s="6">
        <v>45757</v>
      </c>
      <c r="C98" s="5" t="s">
        <v>104</v>
      </c>
      <c r="D98" s="5" t="s">
        <v>1535</v>
      </c>
      <c r="E98" s="5">
        <v>5</v>
      </c>
      <c r="F98" s="5" t="s">
        <v>809</v>
      </c>
      <c r="G98" s="5">
        <v>30</v>
      </c>
      <c r="H98" s="5">
        <v>638.88</v>
      </c>
      <c r="I98" s="5" t="s">
        <v>1533</v>
      </c>
      <c r="J98" s="5" t="str">
        <f t="shared" si="1"/>
        <v>BULK/HOSPITALS</v>
      </c>
    </row>
    <row r="99" spans="1:10" x14ac:dyDescent="0.25">
      <c r="A99" s="5">
        <v>5098</v>
      </c>
      <c r="B99" s="6">
        <v>45757</v>
      </c>
      <c r="C99" s="5" t="s">
        <v>105</v>
      </c>
      <c r="D99" s="5" t="s">
        <v>1535</v>
      </c>
      <c r="E99" s="5">
        <v>5</v>
      </c>
      <c r="F99" s="5" t="s">
        <v>810</v>
      </c>
      <c r="G99" s="5">
        <v>10</v>
      </c>
      <c r="H99" s="5">
        <v>193.05</v>
      </c>
      <c r="I99" s="5" t="s">
        <v>1493</v>
      </c>
      <c r="J99" s="5" t="str">
        <f t="shared" si="1"/>
        <v>REGULAR</v>
      </c>
    </row>
    <row r="100" spans="1:10" x14ac:dyDescent="0.25">
      <c r="A100" s="5">
        <v>5099</v>
      </c>
      <c r="B100" s="6">
        <v>45757</v>
      </c>
      <c r="C100" s="5" t="s">
        <v>106</v>
      </c>
      <c r="D100" s="5" t="s">
        <v>1535</v>
      </c>
      <c r="E100" s="5">
        <v>7</v>
      </c>
      <c r="F100" s="5" t="s">
        <v>811</v>
      </c>
      <c r="G100" s="5">
        <v>60</v>
      </c>
      <c r="H100" s="5">
        <v>970.2</v>
      </c>
      <c r="I100" s="5" t="s">
        <v>822</v>
      </c>
      <c r="J100" s="5" t="str">
        <f t="shared" si="1"/>
        <v>BULK/HOSPITALS</v>
      </c>
    </row>
    <row r="101" spans="1:10" x14ac:dyDescent="0.25">
      <c r="A101" s="5">
        <v>5100</v>
      </c>
      <c r="B101" s="6">
        <v>45757</v>
      </c>
      <c r="C101" s="5" t="s">
        <v>107</v>
      </c>
      <c r="D101" s="5" t="s">
        <v>1538</v>
      </c>
      <c r="E101" s="5">
        <v>10</v>
      </c>
      <c r="F101" s="5" t="s">
        <v>812</v>
      </c>
      <c r="G101" s="5">
        <v>680</v>
      </c>
      <c r="H101" s="5">
        <v>11019.73</v>
      </c>
      <c r="I101" s="5" t="s">
        <v>1286</v>
      </c>
      <c r="J101" s="5" t="str">
        <f t="shared" si="1"/>
        <v>BULK/HOSPITALS</v>
      </c>
    </row>
    <row r="102" spans="1:10" x14ac:dyDescent="0.25">
      <c r="A102" s="5">
        <v>5101</v>
      </c>
      <c r="B102" s="6">
        <v>45758</v>
      </c>
      <c r="C102" s="5" t="s">
        <v>108</v>
      </c>
      <c r="D102" s="5" t="s">
        <v>1535</v>
      </c>
      <c r="E102" s="5">
        <v>5</v>
      </c>
      <c r="F102" s="5" t="s">
        <v>813</v>
      </c>
      <c r="G102" s="5">
        <v>10</v>
      </c>
      <c r="H102" s="5">
        <v>236</v>
      </c>
      <c r="I102" s="5" t="s">
        <v>1479</v>
      </c>
      <c r="J102" s="5" t="str">
        <f t="shared" si="1"/>
        <v>REGULAR</v>
      </c>
    </row>
    <row r="103" spans="1:10" x14ac:dyDescent="0.25">
      <c r="A103" s="5">
        <v>5102</v>
      </c>
      <c r="B103" s="6">
        <v>45758</v>
      </c>
      <c r="C103" s="5" t="s">
        <v>109</v>
      </c>
      <c r="D103" s="5" t="s">
        <v>1535</v>
      </c>
      <c r="E103" s="5">
        <v>5</v>
      </c>
      <c r="F103" s="5" t="s">
        <v>814</v>
      </c>
      <c r="G103" s="5">
        <v>10</v>
      </c>
      <c r="H103" s="5">
        <v>207</v>
      </c>
      <c r="I103" s="5" t="s">
        <v>1479</v>
      </c>
      <c r="J103" s="5" t="str">
        <f t="shared" si="1"/>
        <v>REGULAR</v>
      </c>
    </row>
    <row r="104" spans="1:10" x14ac:dyDescent="0.25">
      <c r="A104" s="5">
        <v>5103</v>
      </c>
      <c r="B104" s="6">
        <v>45758</v>
      </c>
      <c r="C104" s="5" t="s">
        <v>110</v>
      </c>
      <c r="D104" s="5" t="s">
        <v>1538</v>
      </c>
      <c r="E104" s="5">
        <v>2</v>
      </c>
      <c r="F104" s="5" t="s">
        <v>693</v>
      </c>
      <c r="G104" s="5">
        <v>2</v>
      </c>
      <c r="H104" s="5">
        <v>180</v>
      </c>
      <c r="I104" s="5" t="s">
        <v>1183</v>
      </c>
      <c r="J104" s="5" t="str">
        <f t="shared" si="1"/>
        <v>RETAIL</v>
      </c>
    </row>
    <row r="105" spans="1:10" x14ac:dyDescent="0.25">
      <c r="A105" s="5">
        <v>5104</v>
      </c>
      <c r="B105" s="6">
        <v>45758</v>
      </c>
      <c r="C105" s="5" t="s">
        <v>111</v>
      </c>
      <c r="D105" s="5" t="s">
        <v>1538</v>
      </c>
      <c r="E105" s="5">
        <v>5</v>
      </c>
      <c r="F105" s="5" t="s">
        <v>815</v>
      </c>
      <c r="G105" s="5">
        <v>20</v>
      </c>
      <c r="H105" s="5">
        <v>406</v>
      </c>
      <c r="I105" s="5" t="s">
        <v>1534</v>
      </c>
      <c r="J105" s="5" t="str">
        <f t="shared" si="1"/>
        <v>REGULAR</v>
      </c>
    </row>
    <row r="106" spans="1:10" x14ac:dyDescent="0.25">
      <c r="A106" s="5">
        <v>5105</v>
      </c>
      <c r="B106" s="6">
        <v>45759</v>
      </c>
      <c r="C106" s="5" t="s">
        <v>112</v>
      </c>
      <c r="D106" s="5" t="s">
        <v>1535</v>
      </c>
      <c r="E106" s="5">
        <v>5</v>
      </c>
      <c r="F106" s="5" t="s">
        <v>845</v>
      </c>
      <c r="G106" s="5">
        <v>30</v>
      </c>
      <c r="H106" s="5">
        <v>130</v>
      </c>
      <c r="I106" s="5" t="s">
        <v>816</v>
      </c>
      <c r="J106" s="5" t="str">
        <f t="shared" si="1"/>
        <v>BULK/HOSPITALS</v>
      </c>
    </row>
    <row r="107" spans="1:10" x14ac:dyDescent="0.25">
      <c r="A107" s="5">
        <v>5106</v>
      </c>
      <c r="B107" s="6">
        <v>45759</v>
      </c>
      <c r="C107" s="5" t="s">
        <v>113</v>
      </c>
      <c r="D107" s="5" t="s">
        <v>1535</v>
      </c>
      <c r="E107" s="5">
        <v>5</v>
      </c>
      <c r="F107" s="5" t="s">
        <v>846</v>
      </c>
      <c r="G107" s="5">
        <v>20</v>
      </c>
      <c r="H107" s="5">
        <v>610</v>
      </c>
      <c r="I107" s="5" t="s">
        <v>817</v>
      </c>
      <c r="J107" s="5" t="str">
        <f t="shared" si="1"/>
        <v>REGULAR</v>
      </c>
    </row>
    <row r="108" spans="1:10" x14ac:dyDescent="0.25">
      <c r="A108" s="5">
        <v>5107</v>
      </c>
      <c r="B108" s="6">
        <v>45759</v>
      </c>
      <c r="C108" s="5" t="s">
        <v>114</v>
      </c>
      <c r="D108" s="5" t="s">
        <v>1538</v>
      </c>
      <c r="E108" s="5">
        <v>5</v>
      </c>
      <c r="F108" s="5" t="s">
        <v>745</v>
      </c>
      <c r="G108" s="5">
        <v>16</v>
      </c>
      <c r="H108" s="5">
        <v>2640</v>
      </c>
      <c r="I108" s="5" t="s">
        <v>818</v>
      </c>
      <c r="J108" s="5" t="str">
        <f t="shared" si="1"/>
        <v>REGULAR</v>
      </c>
    </row>
    <row r="109" spans="1:10" x14ac:dyDescent="0.25">
      <c r="A109" s="5">
        <v>5108</v>
      </c>
      <c r="B109" s="6">
        <v>45759</v>
      </c>
      <c r="C109" s="5" t="s">
        <v>115</v>
      </c>
      <c r="D109" s="5" t="s">
        <v>1538</v>
      </c>
      <c r="E109" s="5">
        <v>2</v>
      </c>
      <c r="F109" s="5" t="s">
        <v>746</v>
      </c>
      <c r="G109" s="5">
        <v>6</v>
      </c>
      <c r="H109" s="5">
        <v>270</v>
      </c>
      <c r="I109" s="5" t="s">
        <v>818</v>
      </c>
      <c r="J109" s="5" t="str">
        <f t="shared" si="1"/>
        <v>REGULAR</v>
      </c>
    </row>
    <row r="110" spans="1:10" x14ac:dyDescent="0.25">
      <c r="A110" s="5">
        <v>5109</v>
      </c>
      <c r="B110" s="6">
        <v>45759</v>
      </c>
      <c r="C110" s="5" t="s">
        <v>116</v>
      </c>
      <c r="D110" s="5" t="s">
        <v>1538</v>
      </c>
      <c r="E110" s="5">
        <v>5</v>
      </c>
      <c r="F110" s="5" t="s">
        <v>747</v>
      </c>
      <c r="G110" s="5">
        <v>19</v>
      </c>
      <c r="H110" s="5">
        <v>1639</v>
      </c>
      <c r="I110" s="5" t="s">
        <v>818</v>
      </c>
      <c r="J110" s="5" t="str">
        <f t="shared" si="1"/>
        <v>REGULAR</v>
      </c>
    </row>
    <row r="111" spans="1:10" x14ac:dyDescent="0.25">
      <c r="A111" s="5">
        <v>5110</v>
      </c>
      <c r="B111" s="6">
        <v>45759</v>
      </c>
      <c r="C111" s="5" t="s">
        <v>117</v>
      </c>
      <c r="D111" s="5" t="s">
        <v>1538</v>
      </c>
      <c r="E111" s="5">
        <v>5</v>
      </c>
      <c r="F111" s="5" t="s">
        <v>746</v>
      </c>
      <c r="G111" s="5">
        <v>12</v>
      </c>
      <c r="H111" s="5">
        <v>512</v>
      </c>
      <c r="I111" s="5" t="s">
        <v>819</v>
      </c>
      <c r="J111" s="5" t="str">
        <f t="shared" si="1"/>
        <v>REGULAR</v>
      </c>
    </row>
    <row r="112" spans="1:10" x14ac:dyDescent="0.25">
      <c r="A112" s="5">
        <v>5111</v>
      </c>
      <c r="B112" s="6">
        <v>45760</v>
      </c>
      <c r="C112" s="5" t="s">
        <v>118</v>
      </c>
      <c r="D112" s="5" t="s">
        <v>1536</v>
      </c>
      <c r="E112" s="5">
        <v>5</v>
      </c>
      <c r="F112" s="5" t="s">
        <v>748</v>
      </c>
      <c r="G112" s="5">
        <v>13</v>
      </c>
      <c r="H112" s="5">
        <v>2381.02</v>
      </c>
      <c r="I112" s="5" t="s">
        <v>820</v>
      </c>
      <c r="J112" s="5" t="str">
        <f t="shared" si="1"/>
        <v>REGULAR</v>
      </c>
    </row>
    <row r="113" spans="1:10" x14ac:dyDescent="0.25">
      <c r="A113" s="5">
        <v>5112</v>
      </c>
      <c r="B113" s="6">
        <v>45760</v>
      </c>
      <c r="C113" s="5" t="s">
        <v>119</v>
      </c>
      <c r="D113" s="5" t="s">
        <v>1538</v>
      </c>
      <c r="E113" s="5">
        <v>2</v>
      </c>
      <c r="F113" s="5" t="s">
        <v>749</v>
      </c>
      <c r="G113" s="5">
        <v>2</v>
      </c>
      <c r="H113" s="5">
        <v>314.5</v>
      </c>
      <c r="I113" s="5" t="s">
        <v>821</v>
      </c>
      <c r="J113" s="5" t="str">
        <f t="shared" si="1"/>
        <v>RETAIL</v>
      </c>
    </row>
    <row r="114" spans="1:10" x14ac:dyDescent="0.25">
      <c r="A114" s="5">
        <v>5113</v>
      </c>
      <c r="B114" s="6">
        <v>45760</v>
      </c>
      <c r="C114" s="5" t="s">
        <v>120</v>
      </c>
      <c r="D114" s="5" t="s">
        <v>1536</v>
      </c>
      <c r="E114" s="5">
        <v>2</v>
      </c>
      <c r="F114" s="5" t="s">
        <v>748</v>
      </c>
      <c r="G114" s="5">
        <v>8</v>
      </c>
      <c r="H114" s="5">
        <v>1437.85</v>
      </c>
      <c r="I114" s="5" t="s">
        <v>822</v>
      </c>
      <c r="J114" s="5" t="str">
        <f t="shared" si="1"/>
        <v>REGULAR</v>
      </c>
    </row>
    <row r="115" spans="1:10" x14ac:dyDescent="0.25">
      <c r="A115" s="5">
        <v>5114</v>
      </c>
      <c r="B115" s="6">
        <v>45760</v>
      </c>
      <c r="C115" s="5" t="s">
        <v>121</v>
      </c>
      <c r="D115" s="5" t="s">
        <v>1535</v>
      </c>
      <c r="E115" s="5">
        <v>7</v>
      </c>
      <c r="F115" s="5" t="s">
        <v>847</v>
      </c>
      <c r="G115" s="5">
        <v>76</v>
      </c>
      <c r="H115" s="5">
        <v>60.97</v>
      </c>
      <c r="I115" s="5" t="s">
        <v>823</v>
      </c>
      <c r="J115" s="5" t="str">
        <f t="shared" si="1"/>
        <v>BULK/HOSPITALS</v>
      </c>
    </row>
    <row r="116" spans="1:10" x14ac:dyDescent="0.25">
      <c r="A116" s="5">
        <v>5115</v>
      </c>
      <c r="B116" s="6">
        <v>45760</v>
      </c>
      <c r="C116" s="5" t="s">
        <v>122</v>
      </c>
      <c r="D116" s="5" t="s">
        <v>1535</v>
      </c>
      <c r="E116" s="5">
        <v>5</v>
      </c>
      <c r="F116" s="5" t="s">
        <v>848</v>
      </c>
      <c r="G116" s="5">
        <v>10</v>
      </c>
      <c r="H116" s="5">
        <v>225.73</v>
      </c>
      <c r="I116" s="5" t="s">
        <v>824</v>
      </c>
      <c r="J116" s="5" t="str">
        <f t="shared" si="1"/>
        <v>REGULAR</v>
      </c>
    </row>
    <row r="117" spans="1:10" x14ac:dyDescent="0.25">
      <c r="A117" s="5">
        <v>5116</v>
      </c>
      <c r="B117" s="6">
        <v>45760</v>
      </c>
      <c r="C117" s="5" t="s">
        <v>123</v>
      </c>
      <c r="D117" s="5" t="s">
        <v>1538</v>
      </c>
      <c r="E117" s="5">
        <v>10</v>
      </c>
      <c r="F117" s="5" t="s">
        <v>750</v>
      </c>
      <c r="G117" s="5">
        <v>100</v>
      </c>
      <c r="H117" s="5">
        <v>2665</v>
      </c>
      <c r="I117" s="5" t="s">
        <v>825</v>
      </c>
      <c r="J117" s="5" t="str">
        <f t="shared" si="1"/>
        <v>BULK/HOSPITALS</v>
      </c>
    </row>
    <row r="118" spans="1:10" x14ac:dyDescent="0.25">
      <c r="A118" s="5">
        <v>5117</v>
      </c>
      <c r="B118" s="6">
        <v>45760</v>
      </c>
      <c r="C118" s="5" t="s">
        <v>124</v>
      </c>
      <c r="D118" s="5" t="s">
        <v>1538</v>
      </c>
      <c r="E118" s="5">
        <v>7</v>
      </c>
      <c r="F118" s="5" t="s">
        <v>751</v>
      </c>
      <c r="G118" s="5">
        <v>63</v>
      </c>
      <c r="H118" s="5">
        <v>6240.25</v>
      </c>
      <c r="I118" s="5" t="s">
        <v>826</v>
      </c>
      <c r="J118" s="5" t="str">
        <f t="shared" si="1"/>
        <v>BULK/HOSPITALS</v>
      </c>
    </row>
    <row r="119" spans="1:10" x14ac:dyDescent="0.25">
      <c r="A119" s="5">
        <v>5118</v>
      </c>
      <c r="B119" s="6">
        <v>45760</v>
      </c>
      <c r="C119" s="5" t="s">
        <v>125</v>
      </c>
      <c r="D119" s="5" t="s">
        <v>1538</v>
      </c>
      <c r="E119" s="5">
        <v>5</v>
      </c>
      <c r="F119" s="5" t="s">
        <v>849</v>
      </c>
      <c r="G119" s="5">
        <v>30</v>
      </c>
      <c r="H119" s="5">
        <v>421.5</v>
      </c>
      <c r="I119" s="5" t="s">
        <v>827</v>
      </c>
      <c r="J119" s="5" t="str">
        <f t="shared" si="1"/>
        <v>BULK/HOSPITALS</v>
      </c>
    </row>
    <row r="120" spans="1:10" x14ac:dyDescent="0.25">
      <c r="A120" s="5">
        <v>5119</v>
      </c>
      <c r="B120" s="6">
        <v>45761</v>
      </c>
      <c r="C120" s="5" t="s">
        <v>126</v>
      </c>
      <c r="D120" s="5" t="s">
        <v>1538</v>
      </c>
      <c r="E120" s="5">
        <v>2</v>
      </c>
      <c r="F120" s="5" t="s">
        <v>752</v>
      </c>
      <c r="G120" s="5">
        <v>1</v>
      </c>
      <c r="H120" s="5">
        <v>231</v>
      </c>
      <c r="I120" s="5" t="s">
        <v>828</v>
      </c>
      <c r="J120" s="5" t="str">
        <f t="shared" si="1"/>
        <v>RETAIL</v>
      </c>
    </row>
    <row r="121" spans="1:10" x14ac:dyDescent="0.25">
      <c r="A121" s="5">
        <v>5120</v>
      </c>
      <c r="B121" s="6">
        <v>45761</v>
      </c>
      <c r="C121" s="5" t="s">
        <v>127</v>
      </c>
      <c r="D121" s="5" t="s">
        <v>1535</v>
      </c>
      <c r="E121" s="5">
        <v>2</v>
      </c>
      <c r="F121" s="5" t="s">
        <v>850</v>
      </c>
      <c r="G121" s="5">
        <v>8</v>
      </c>
      <c r="H121" s="5">
        <v>269</v>
      </c>
      <c r="I121" s="5" t="s">
        <v>829</v>
      </c>
      <c r="J121" s="5" t="str">
        <f t="shared" si="1"/>
        <v>REGULAR</v>
      </c>
    </row>
    <row r="122" spans="1:10" x14ac:dyDescent="0.25">
      <c r="A122" s="5">
        <v>5121</v>
      </c>
      <c r="B122" s="6">
        <v>45761</v>
      </c>
      <c r="C122" s="5" t="s">
        <v>128</v>
      </c>
      <c r="D122" s="5" t="s">
        <v>1538</v>
      </c>
      <c r="E122" s="5">
        <v>2</v>
      </c>
      <c r="F122" s="5" t="s">
        <v>753</v>
      </c>
      <c r="G122" s="5">
        <v>5</v>
      </c>
      <c r="H122" s="5">
        <v>1415</v>
      </c>
      <c r="I122" s="5" t="s">
        <v>830</v>
      </c>
      <c r="J122" s="5" t="str">
        <f t="shared" si="1"/>
        <v>REGULAR</v>
      </c>
    </row>
    <row r="123" spans="1:10" x14ac:dyDescent="0.25">
      <c r="A123" s="5">
        <v>5122</v>
      </c>
      <c r="B123" s="6">
        <v>45761</v>
      </c>
      <c r="C123" s="5" t="s">
        <v>129</v>
      </c>
      <c r="D123" s="5" t="s">
        <v>1538</v>
      </c>
      <c r="E123" s="5">
        <v>2</v>
      </c>
      <c r="F123" s="5" t="s">
        <v>754</v>
      </c>
      <c r="G123" s="5">
        <v>5</v>
      </c>
      <c r="H123" s="5">
        <v>2265</v>
      </c>
      <c r="I123" s="5" t="s">
        <v>830</v>
      </c>
      <c r="J123" s="5" t="str">
        <f t="shared" si="1"/>
        <v>REGULAR</v>
      </c>
    </row>
    <row r="124" spans="1:10" x14ac:dyDescent="0.25">
      <c r="A124" s="5">
        <v>5123</v>
      </c>
      <c r="B124" s="6">
        <v>45762</v>
      </c>
      <c r="C124" s="5" t="s">
        <v>130</v>
      </c>
      <c r="D124" s="5" t="s">
        <v>1535</v>
      </c>
      <c r="E124" s="5">
        <v>5</v>
      </c>
      <c r="F124" s="5" t="s">
        <v>851</v>
      </c>
      <c r="G124" s="5">
        <v>25</v>
      </c>
      <c r="H124" s="5">
        <v>24.93</v>
      </c>
      <c r="I124" s="5" t="s">
        <v>831</v>
      </c>
      <c r="J124" s="5" t="str">
        <f t="shared" si="1"/>
        <v>BULK/HOSPITALS</v>
      </c>
    </row>
    <row r="125" spans="1:10" x14ac:dyDescent="0.25">
      <c r="A125" s="5">
        <v>5124</v>
      </c>
      <c r="B125" s="6">
        <v>45762</v>
      </c>
      <c r="C125" s="5" t="s">
        <v>131</v>
      </c>
      <c r="D125" s="5" t="s">
        <v>1538</v>
      </c>
      <c r="E125" s="5">
        <v>5</v>
      </c>
      <c r="F125" s="5" t="s">
        <v>756</v>
      </c>
      <c r="G125" s="5">
        <v>25</v>
      </c>
      <c r="H125" s="5">
        <v>2650</v>
      </c>
      <c r="I125" s="5" t="s">
        <v>822</v>
      </c>
      <c r="J125" s="5" t="str">
        <f t="shared" si="1"/>
        <v>BULK/HOSPITALS</v>
      </c>
    </row>
    <row r="126" spans="1:10" x14ac:dyDescent="0.25">
      <c r="A126" s="5">
        <v>5125</v>
      </c>
      <c r="B126" s="6">
        <v>45762</v>
      </c>
      <c r="C126" s="5" t="s">
        <v>132</v>
      </c>
      <c r="D126" s="5" t="s">
        <v>1538</v>
      </c>
      <c r="E126" s="5">
        <v>2</v>
      </c>
      <c r="F126" s="5" t="s">
        <v>757</v>
      </c>
      <c r="G126" s="5">
        <v>1</v>
      </c>
      <c r="H126" s="5">
        <v>182</v>
      </c>
      <c r="I126" s="5" t="s">
        <v>832</v>
      </c>
      <c r="J126" s="5" t="str">
        <f t="shared" si="1"/>
        <v>RETAIL</v>
      </c>
    </row>
    <row r="127" spans="1:10" x14ac:dyDescent="0.25">
      <c r="A127" s="5">
        <v>5126</v>
      </c>
      <c r="B127" s="6">
        <v>45762</v>
      </c>
      <c r="C127" s="5" t="s">
        <v>133</v>
      </c>
      <c r="D127" s="5" t="s">
        <v>1538</v>
      </c>
      <c r="E127" s="5">
        <v>2</v>
      </c>
      <c r="F127" s="5" t="s">
        <v>758</v>
      </c>
      <c r="G127" s="5">
        <v>2</v>
      </c>
      <c r="H127" s="5">
        <v>201.6</v>
      </c>
      <c r="I127" s="5" t="s">
        <v>832</v>
      </c>
      <c r="J127" s="5" t="str">
        <f t="shared" si="1"/>
        <v>RETAIL</v>
      </c>
    </row>
    <row r="128" spans="1:10" x14ac:dyDescent="0.25">
      <c r="A128" s="5">
        <v>5127</v>
      </c>
      <c r="B128" s="6">
        <v>45762</v>
      </c>
      <c r="C128" s="5" t="s">
        <v>134</v>
      </c>
      <c r="D128" s="5" t="s">
        <v>1538</v>
      </c>
      <c r="E128" s="5">
        <v>5</v>
      </c>
      <c r="F128" s="5" t="s">
        <v>759</v>
      </c>
      <c r="G128" s="5">
        <v>11</v>
      </c>
      <c r="H128" s="5">
        <v>1903.13</v>
      </c>
      <c r="I128" s="5" t="s">
        <v>833</v>
      </c>
      <c r="J128" s="5" t="str">
        <f t="shared" si="1"/>
        <v>REGULAR</v>
      </c>
    </row>
    <row r="129" spans="1:10" x14ac:dyDescent="0.25">
      <c r="A129" s="5">
        <v>5128</v>
      </c>
      <c r="B129" s="6">
        <v>45763</v>
      </c>
      <c r="C129" s="5" t="s">
        <v>135</v>
      </c>
      <c r="D129" s="5" t="s">
        <v>1538</v>
      </c>
      <c r="E129" s="5">
        <v>2</v>
      </c>
      <c r="F129" s="5" t="s">
        <v>760</v>
      </c>
      <c r="G129" s="5">
        <v>8</v>
      </c>
      <c r="H129" s="5">
        <v>1112</v>
      </c>
      <c r="I129" s="5" t="s">
        <v>832</v>
      </c>
      <c r="J129" s="5" t="str">
        <f t="shared" si="1"/>
        <v>REGULAR</v>
      </c>
    </row>
    <row r="130" spans="1:10" x14ac:dyDescent="0.25">
      <c r="A130" s="5">
        <v>5129</v>
      </c>
      <c r="B130" s="6">
        <v>45763</v>
      </c>
      <c r="C130" s="5" t="s">
        <v>136</v>
      </c>
      <c r="D130" s="5" t="s">
        <v>1538</v>
      </c>
      <c r="E130" s="5">
        <v>5</v>
      </c>
      <c r="F130" s="5" t="s">
        <v>852</v>
      </c>
      <c r="G130" s="5">
        <v>10</v>
      </c>
      <c r="H130" s="5">
        <v>144.6</v>
      </c>
      <c r="I130" s="5" t="s">
        <v>834</v>
      </c>
      <c r="J130" s="5" t="str">
        <f t="shared" si="1"/>
        <v>REGULAR</v>
      </c>
    </row>
    <row r="131" spans="1:10" x14ac:dyDescent="0.25">
      <c r="A131" s="5">
        <v>5130</v>
      </c>
      <c r="B131" s="6">
        <v>45763</v>
      </c>
      <c r="C131" s="5" t="s">
        <v>137</v>
      </c>
      <c r="D131" s="5" t="s">
        <v>1538</v>
      </c>
      <c r="E131" s="5">
        <v>5</v>
      </c>
      <c r="F131" s="5" t="s">
        <v>853</v>
      </c>
      <c r="G131" s="5">
        <v>10</v>
      </c>
      <c r="H131" s="5">
        <v>247.7</v>
      </c>
      <c r="I131" s="5" t="s">
        <v>834</v>
      </c>
      <c r="J131" s="5" t="str">
        <f t="shared" ref="J131:J194" si="2">IF(G131&lt;=2,"RETAIL",IF(G131&lt;=20,"REGULAR",IF(G131&gt;20,"BULK/HOSPITALS")))</f>
        <v>REGULAR</v>
      </c>
    </row>
    <row r="132" spans="1:10" x14ac:dyDescent="0.25">
      <c r="A132" s="5">
        <v>5131</v>
      </c>
      <c r="B132" s="6">
        <v>45763</v>
      </c>
      <c r="C132" s="5" t="s">
        <v>138</v>
      </c>
      <c r="D132" s="5" t="s">
        <v>1538</v>
      </c>
      <c r="E132" s="5">
        <v>2</v>
      </c>
      <c r="F132" s="5" t="s">
        <v>762</v>
      </c>
      <c r="G132" s="5">
        <v>3</v>
      </c>
      <c r="H132" s="5">
        <v>156</v>
      </c>
      <c r="I132" s="5" t="s">
        <v>835</v>
      </c>
      <c r="J132" s="5" t="str">
        <f t="shared" si="2"/>
        <v>REGULAR</v>
      </c>
    </row>
    <row r="133" spans="1:10" x14ac:dyDescent="0.25">
      <c r="A133" s="5">
        <v>5132</v>
      </c>
      <c r="B133" s="6">
        <v>45763</v>
      </c>
      <c r="C133" s="5" t="s">
        <v>139</v>
      </c>
      <c r="D133" s="5" t="s">
        <v>1535</v>
      </c>
      <c r="E133" s="5">
        <v>5</v>
      </c>
      <c r="F133" s="5" t="s">
        <v>854</v>
      </c>
      <c r="G133" s="5">
        <v>10</v>
      </c>
      <c r="H133" s="5">
        <v>576.03</v>
      </c>
      <c r="I133" s="5" t="s">
        <v>836</v>
      </c>
      <c r="J133" s="5" t="str">
        <f t="shared" si="2"/>
        <v>REGULAR</v>
      </c>
    </row>
    <row r="134" spans="1:10" x14ac:dyDescent="0.25">
      <c r="A134" s="5">
        <v>5133</v>
      </c>
      <c r="B134" s="6">
        <v>45763</v>
      </c>
      <c r="C134" s="5" t="s">
        <v>140</v>
      </c>
      <c r="D134" s="5" t="s">
        <v>1538</v>
      </c>
      <c r="E134" s="5">
        <v>2</v>
      </c>
      <c r="F134" s="5" t="s">
        <v>763</v>
      </c>
      <c r="G134" s="5">
        <v>1</v>
      </c>
      <c r="H134" s="5">
        <v>950</v>
      </c>
      <c r="I134" s="5" t="s">
        <v>837</v>
      </c>
      <c r="J134" s="5" t="str">
        <f t="shared" si="2"/>
        <v>RETAIL</v>
      </c>
    </row>
    <row r="135" spans="1:10" x14ac:dyDescent="0.25">
      <c r="A135" s="5">
        <v>5134</v>
      </c>
      <c r="B135" s="6">
        <v>45763</v>
      </c>
      <c r="C135" s="5" t="s">
        <v>141</v>
      </c>
      <c r="D135" s="5" t="s">
        <v>1538</v>
      </c>
      <c r="E135" s="5">
        <v>2</v>
      </c>
      <c r="F135" s="5" t="s">
        <v>764</v>
      </c>
      <c r="G135" s="5">
        <v>1</v>
      </c>
      <c r="H135" s="5">
        <v>669</v>
      </c>
      <c r="I135" s="5" t="s">
        <v>837</v>
      </c>
      <c r="J135" s="5" t="str">
        <f t="shared" si="2"/>
        <v>RETAIL</v>
      </c>
    </row>
    <row r="136" spans="1:10" x14ac:dyDescent="0.25">
      <c r="A136" s="5">
        <v>5135</v>
      </c>
      <c r="B136" s="6">
        <v>45764</v>
      </c>
      <c r="C136" s="5" t="s">
        <v>142</v>
      </c>
      <c r="D136" s="5" t="s">
        <v>1538</v>
      </c>
      <c r="E136" s="5">
        <v>2</v>
      </c>
      <c r="F136" s="5" t="s">
        <v>765</v>
      </c>
      <c r="G136" s="5">
        <v>2</v>
      </c>
      <c r="H136" s="5">
        <v>2307</v>
      </c>
      <c r="I136" s="5" t="s">
        <v>837</v>
      </c>
      <c r="J136" s="5" t="str">
        <f t="shared" si="2"/>
        <v>RETAIL</v>
      </c>
    </row>
    <row r="137" spans="1:10" x14ac:dyDescent="0.25">
      <c r="A137" s="5">
        <v>5136</v>
      </c>
      <c r="B137" s="6">
        <v>45764</v>
      </c>
      <c r="C137" s="5" t="s">
        <v>143</v>
      </c>
      <c r="D137" s="5" t="s">
        <v>1538</v>
      </c>
      <c r="E137" s="5">
        <v>2</v>
      </c>
      <c r="F137" s="5" t="s">
        <v>766</v>
      </c>
      <c r="G137" s="5">
        <v>1</v>
      </c>
      <c r="H137" s="5">
        <v>429</v>
      </c>
      <c r="I137" s="5" t="s">
        <v>837</v>
      </c>
      <c r="J137" s="5" t="str">
        <f t="shared" si="2"/>
        <v>RETAIL</v>
      </c>
    </row>
    <row r="138" spans="1:10" x14ac:dyDescent="0.25">
      <c r="A138" s="5">
        <v>5137</v>
      </c>
      <c r="B138" s="6">
        <v>45764</v>
      </c>
      <c r="C138" s="5" t="s">
        <v>144</v>
      </c>
      <c r="D138" s="5" t="s">
        <v>1538</v>
      </c>
      <c r="E138" s="5">
        <v>2</v>
      </c>
      <c r="F138" s="5" t="s">
        <v>765</v>
      </c>
      <c r="G138" s="5">
        <v>2</v>
      </c>
      <c r="H138" s="5">
        <v>1538</v>
      </c>
      <c r="I138" s="5" t="s">
        <v>837</v>
      </c>
      <c r="J138" s="5" t="str">
        <f t="shared" si="2"/>
        <v>RETAIL</v>
      </c>
    </row>
    <row r="139" spans="1:10" x14ac:dyDescent="0.25">
      <c r="A139" s="5">
        <v>5138</v>
      </c>
      <c r="B139" s="6">
        <v>45764</v>
      </c>
      <c r="C139" s="5" t="s">
        <v>145</v>
      </c>
      <c r="D139" s="5" t="s">
        <v>1538</v>
      </c>
      <c r="E139" s="5">
        <v>5</v>
      </c>
      <c r="F139" s="5" t="s">
        <v>767</v>
      </c>
      <c r="G139" s="5">
        <v>12</v>
      </c>
      <c r="H139" s="5">
        <v>8028</v>
      </c>
      <c r="I139" s="5" t="s">
        <v>837</v>
      </c>
      <c r="J139" s="5" t="str">
        <f t="shared" si="2"/>
        <v>REGULAR</v>
      </c>
    </row>
    <row r="140" spans="1:10" x14ac:dyDescent="0.25">
      <c r="A140" s="5">
        <v>5139</v>
      </c>
      <c r="B140" s="6">
        <v>45765</v>
      </c>
      <c r="C140" s="5" t="s">
        <v>146</v>
      </c>
      <c r="D140" s="5" t="s">
        <v>1538</v>
      </c>
      <c r="E140" s="5">
        <v>2</v>
      </c>
      <c r="F140" s="5" t="s">
        <v>768</v>
      </c>
      <c r="G140" s="5">
        <v>1</v>
      </c>
      <c r="H140" s="5">
        <v>1099</v>
      </c>
      <c r="I140" s="5" t="s">
        <v>837</v>
      </c>
      <c r="J140" s="5" t="str">
        <f t="shared" si="2"/>
        <v>RETAIL</v>
      </c>
    </row>
    <row r="141" spans="1:10" x14ac:dyDescent="0.25">
      <c r="A141" s="5">
        <v>5140</v>
      </c>
      <c r="B141" s="6">
        <v>45765</v>
      </c>
      <c r="C141" s="5" t="s">
        <v>147</v>
      </c>
      <c r="D141" s="5" t="s">
        <v>1538</v>
      </c>
      <c r="E141" s="5">
        <v>2</v>
      </c>
      <c r="F141" s="5" t="s">
        <v>769</v>
      </c>
      <c r="G141" s="5">
        <v>3</v>
      </c>
      <c r="H141" s="5">
        <v>2097</v>
      </c>
      <c r="I141" s="5" t="s">
        <v>837</v>
      </c>
      <c r="J141" s="5" t="str">
        <f t="shared" si="2"/>
        <v>REGULAR</v>
      </c>
    </row>
    <row r="142" spans="1:10" x14ac:dyDescent="0.25">
      <c r="A142" s="5">
        <v>5141</v>
      </c>
      <c r="B142" s="6">
        <v>45765</v>
      </c>
      <c r="C142" s="5" t="s">
        <v>148</v>
      </c>
      <c r="D142" s="5" t="s">
        <v>1538</v>
      </c>
      <c r="E142" s="5">
        <v>2</v>
      </c>
      <c r="F142" s="5" t="s">
        <v>770</v>
      </c>
      <c r="G142" s="5">
        <v>1</v>
      </c>
      <c r="H142" s="5">
        <v>1313</v>
      </c>
      <c r="I142" s="5" t="s">
        <v>837</v>
      </c>
      <c r="J142" s="5" t="str">
        <f t="shared" si="2"/>
        <v>RETAIL</v>
      </c>
    </row>
    <row r="143" spans="1:10" x14ac:dyDescent="0.25">
      <c r="A143" s="5">
        <v>5142</v>
      </c>
      <c r="B143" s="6">
        <v>45765</v>
      </c>
      <c r="C143" s="5" t="s">
        <v>149</v>
      </c>
      <c r="D143" s="5" t="s">
        <v>1535</v>
      </c>
      <c r="E143" s="5">
        <v>10</v>
      </c>
      <c r="F143" s="5" t="s">
        <v>855</v>
      </c>
      <c r="G143" s="5">
        <v>116</v>
      </c>
      <c r="H143" s="5">
        <v>738.98</v>
      </c>
      <c r="I143" s="5" t="s">
        <v>826</v>
      </c>
      <c r="J143" s="5" t="str">
        <f t="shared" si="2"/>
        <v>BULK/HOSPITALS</v>
      </c>
    </row>
    <row r="144" spans="1:10" x14ac:dyDescent="0.25">
      <c r="A144" s="5">
        <v>5143</v>
      </c>
      <c r="B144" s="6">
        <v>45766</v>
      </c>
      <c r="C144" s="5" t="s">
        <v>150</v>
      </c>
      <c r="D144" s="5" t="s">
        <v>1535</v>
      </c>
      <c r="E144" s="5">
        <v>5</v>
      </c>
      <c r="F144" s="5" t="s">
        <v>856</v>
      </c>
      <c r="G144" s="5">
        <v>20</v>
      </c>
      <c r="H144" s="5">
        <v>467.8</v>
      </c>
      <c r="I144" s="5" t="s">
        <v>838</v>
      </c>
      <c r="J144" s="5" t="str">
        <f t="shared" si="2"/>
        <v>REGULAR</v>
      </c>
    </row>
    <row r="145" spans="1:10" x14ac:dyDescent="0.25">
      <c r="A145" s="5">
        <v>5144</v>
      </c>
      <c r="B145" s="6">
        <v>45766</v>
      </c>
      <c r="C145" s="5" t="s">
        <v>151</v>
      </c>
      <c r="D145" s="5" t="s">
        <v>1535</v>
      </c>
      <c r="E145" s="5">
        <v>5</v>
      </c>
      <c r="F145" s="5" t="s">
        <v>857</v>
      </c>
      <c r="G145" s="5">
        <v>30</v>
      </c>
      <c r="H145" s="5">
        <v>142.44</v>
      </c>
      <c r="I145" s="5" t="s">
        <v>839</v>
      </c>
      <c r="J145" s="5" t="str">
        <f t="shared" si="2"/>
        <v>BULK/HOSPITALS</v>
      </c>
    </row>
    <row r="146" spans="1:10" x14ac:dyDescent="0.25">
      <c r="A146" s="5">
        <v>5145</v>
      </c>
      <c r="B146" s="6">
        <v>45766</v>
      </c>
      <c r="C146" s="5" t="s">
        <v>152</v>
      </c>
      <c r="D146" s="5" t="s">
        <v>1535</v>
      </c>
      <c r="E146" s="5">
        <v>5</v>
      </c>
      <c r="F146" s="5" t="s">
        <v>858</v>
      </c>
      <c r="G146" s="5">
        <v>15</v>
      </c>
      <c r="H146" s="5">
        <v>265.88</v>
      </c>
      <c r="I146" s="5" t="s">
        <v>840</v>
      </c>
      <c r="J146" s="5" t="str">
        <f t="shared" si="2"/>
        <v>REGULAR</v>
      </c>
    </row>
    <row r="147" spans="1:10" x14ac:dyDescent="0.25">
      <c r="A147" s="5">
        <v>5146</v>
      </c>
      <c r="B147" s="6">
        <v>45766</v>
      </c>
      <c r="C147" s="5" t="s">
        <v>153</v>
      </c>
      <c r="D147" s="5" t="s">
        <v>1535</v>
      </c>
      <c r="E147" s="5">
        <v>5</v>
      </c>
      <c r="F147" s="5" t="s">
        <v>859</v>
      </c>
      <c r="G147" s="5">
        <v>30</v>
      </c>
      <c r="H147" s="5">
        <v>709.86</v>
      </c>
      <c r="I147" s="5" t="s">
        <v>840</v>
      </c>
      <c r="J147" s="5" t="str">
        <f t="shared" si="2"/>
        <v>BULK/HOSPITALS</v>
      </c>
    </row>
    <row r="148" spans="1:10" x14ac:dyDescent="0.25">
      <c r="A148" s="5">
        <v>5147</v>
      </c>
      <c r="B148" s="6">
        <v>45766</v>
      </c>
      <c r="C148" s="5" t="s">
        <v>154</v>
      </c>
      <c r="D148" s="5" t="s">
        <v>1535</v>
      </c>
      <c r="E148" s="5">
        <v>7</v>
      </c>
      <c r="F148" s="5" t="s">
        <v>860</v>
      </c>
      <c r="G148" s="5">
        <v>60</v>
      </c>
      <c r="H148" s="5">
        <v>1138.02</v>
      </c>
      <c r="I148" s="5" t="s">
        <v>840</v>
      </c>
      <c r="J148" s="5" t="str">
        <f t="shared" si="2"/>
        <v>BULK/HOSPITALS</v>
      </c>
    </row>
    <row r="149" spans="1:10" x14ac:dyDescent="0.25">
      <c r="A149" s="5">
        <v>5148</v>
      </c>
      <c r="B149" s="6">
        <v>45767</v>
      </c>
      <c r="C149" s="5" t="s">
        <v>155</v>
      </c>
      <c r="D149" s="5" t="s">
        <v>1535</v>
      </c>
      <c r="E149" s="5">
        <v>5</v>
      </c>
      <c r="F149" s="5" t="s">
        <v>861</v>
      </c>
      <c r="G149" s="5">
        <v>30</v>
      </c>
      <c r="H149" s="5">
        <v>132.18</v>
      </c>
      <c r="I149" s="5" t="s">
        <v>841</v>
      </c>
      <c r="J149" s="5" t="str">
        <f t="shared" si="2"/>
        <v>BULK/HOSPITALS</v>
      </c>
    </row>
    <row r="150" spans="1:10" x14ac:dyDescent="0.25">
      <c r="A150" s="5">
        <v>5149</v>
      </c>
      <c r="B150" s="6">
        <v>45768</v>
      </c>
      <c r="C150" s="5" t="s">
        <v>156</v>
      </c>
      <c r="D150" s="5" t="s">
        <v>1538</v>
      </c>
      <c r="E150" s="5">
        <v>2</v>
      </c>
      <c r="F150" s="5" t="s">
        <v>771</v>
      </c>
      <c r="G150" s="5">
        <v>4</v>
      </c>
      <c r="H150" s="5">
        <v>176</v>
      </c>
      <c r="I150" s="5" t="s">
        <v>842</v>
      </c>
      <c r="J150" s="5" t="str">
        <f t="shared" si="2"/>
        <v>REGULAR</v>
      </c>
    </row>
    <row r="151" spans="1:10" x14ac:dyDescent="0.25">
      <c r="A151" s="5">
        <v>5150</v>
      </c>
      <c r="B151" s="6">
        <v>45769</v>
      </c>
      <c r="C151" s="5" t="s">
        <v>157</v>
      </c>
      <c r="D151" s="5" t="s">
        <v>1538</v>
      </c>
      <c r="E151" s="5">
        <v>2</v>
      </c>
      <c r="F151" s="5" t="s">
        <v>772</v>
      </c>
      <c r="G151" s="5">
        <v>2</v>
      </c>
      <c r="H151" s="5">
        <v>90</v>
      </c>
      <c r="I151" s="5" t="s">
        <v>842</v>
      </c>
      <c r="J151" s="5" t="str">
        <f t="shared" si="2"/>
        <v>RETAIL</v>
      </c>
    </row>
    <row r="152" spans="1:10" x14ac:dyDescent="0.25">
      <c r="A152" s="5">
        <v>5151</v>
      </c>
      <c r="B152" s="6">
        <v>45770</v>
      </c>
      <c r="C152" s="5" t="s">
        <v>158</v>
      </c>
      <c r="D152" s="5" t="s">
        <v>1535</v>
      </c>
      <c r="E152" s="5">
        <v>10</v>
      </c>
      <c r="F152" s="5" t="s">
        <v>862</v>
      </c>
      <c r="G152" s="5">
        <v>120</v>
      </c>
      <c r="H152" s="5">
        <v>837.28</v>
      </c>
      <c r="I152" s="5" t="s">
        <v>826</v>
      </c>
      <c r="J152" s="5" t="str">
        <f t="shared" si="2"/>
        <v>BULK/HOSPITALS</v>
      </c>
    </row>
    <row r="153" spans="1:10" x14ac:dyDescent="0.25">
      <c r="A153" s="5">
        <v>5152</v>
      </c>
      <c r="B153" s="6">
        <v>45771</v>
      </c>
      <c r="C153" s="5" t="s">
        <v>159</v>
      </c>
      <c r="D153" s="5" t="s">
        <v>1538</v>
      </c>
      <c r="E153" s="5">
        <v>2</v>
      </c>
      <c r="F153" s="5" t="s">
        <v>773</v>
      </c>
      <c r="G153" s="5">
        <v>8</v>
      </c>
      <c r="H153" s="5">
        <v>1645.6</v>
      </c>
      <c r="I153" s="5" t="s">
        <v>826</v>
      </c>
      <c r="J153" s="5" t="str">
        <f t="shared" si="2"/>
        <v>REGULAR</v>
      </c>
    </row>
    <row r="154" spans="1:10" x14ac:dyDescent="0.25">
      <c r="A154" s="5">
        <v>5153</v>
      </c>
      <c r="B154" s="6">
        <v>45772</v>
      </c>
      <c r="C154" s="5" t="s">
        <v>160</v>
      </c>
      <c r="D154" s="5" t="s">
        <v>1538</v>
      </c>
      <c r="E154" s="5">
        <v>5</v>
      </c>
      <c r="F154" s="5" t="s">
        <v>774</v>
      </c>
      <c r="G154" s="5">
        <v>19</v>
      </c>
      <c r="H154" s="5">
        <v>1257.19</v>
      </c>
      <c r="I154" s="5" t="s">
        <v>826</v>
      </c>
      <c r="J154" s="5" t="str">
        <f t="shared" si="2"/>
        <v>REGULAR</v>
      </c>
    </row>
    <row r="155" spans="1:10" x14ac:dyDescent="0.25">
      <c r="A155" s="5">
        <v>5154</v>
      </c>
      <c r="B155" s="6">
        <v>45772</v>
      </c>
      <c r="C155" s="5" t="s">
        <v>161</v>
      </c>
      <c r="D155" s="5" t="s">
        <v>1538</v>
      </c>
      <c r="E155" s="5">
        <v>10</v>
      </c>
      <c r="F155" s="5" t="s">
        <v>863</v>
      </c>
      <c r="G155" s="5">
        <v>636</v>
      </c>
      <c r="H155" s="5">
        <v>1908</v>
      </c>
      <c r="I155" s="5" t="s">
        <v>843</v>
      </c>
      <c r="J155" s="5" t="str">
        <f t="shared" si="2"/>
        <v>BULK/HOSPITALS</v>
      </c>
    </row>
    <row r="156" spans="1:10" x14ac:dyDescent="0.25">
      <c r="A156" s="5">
        <v>5155</v>
      </c>
      <c r="B156" s="6">
        <v>45772</v>
      </c>
      <c r="C156" s="5" t="s">
        <v>162</v>
      </c>
      <c r="D156" s="5" t="s">
        <v>1538</v>
      </c>
      <c r="E156" s="5">
        <v>7</v>
      </c>
      <c r="F156" s="5" t="s">
        <v>776</v>
      </c>
      <c r="G156" s="5">
        <v>52</v>
      </c>
      <c r="H156" s="5">
        <v>4681.5600000000004</v>
      </c>
      <c r="I156" s="5" t="s">
        <v>826</v>
      </c>
      <c r="J156" s="5" t="str">
        <f t="shared" si="2"/>
        <v>BULK/HOSPITALS</v>
      </c>
    </row>
    <row r="157" spans="1:10" x14ac:dyDescent="0.25">
      <c r="A157" s="5">
        <v>5156</v>
      </c>
      <c r="B157" s="6">
        <v>45772</v>
      </c>
      <c r="C157" s="5" t="s">
        <v>163</v>
      </c>
      <c r="D157" s="5" t="s">
        <v>1535</v>
      </c>
      <c r="E157" s="5">
        <v>5</v>
      </c>
      <c r="F157" s="5" t="s">
        <v>864</v>
      </c>
      <c r="G157" s="5">
        <v>10</v>
      </c>
      <c r="H157" s="5">
        <v>24.64</v>
      </c>
      <c r="I157" s="5" t="s">
        <v>844</v>
      </c>
      <c r="J157" s="5" t="str">
        <f t="shared" si="2"/>
        <v>REGULAR</v>
      </c>
    </row>
    <row r="158" spans="1:10" x14ac:dyDescent="0.25">
      <c r="A158" s="5">
        <v>5157</v>
      </c>
      <c r="B158" s="6">
        <v>45772</v>
      </c>
      <c r="C158" s="5" t="s">
        <v>164</v>
      </c>
      <c r="D158" s="5" t="s">
        <v>1538</v>
      </c>
      <c r="E158" s="5">
        <v>5</v>
      </c>
      <c r="F158" s="5" t="s">
        <v>694</v>
      </c>
      <c r="G158" s="5">
        <v>12</v>
      </c>
      <c r="H158" s="5">
        <v>208.47</v>
      </c>
      <c r="I158" s="5" t="s">
        <v>844</v>
      </c>
      <c r="J158" s="5" t="str">
        <f t="shared" si="2"/>
        <v>REGULAR</v>
      </c>
    </row>
    <row r="159" spans="1:10" x14ac:dyDescent="0.25">
      <c r="A159" s="5">
        <v>5158</v>
      </c>
      <c r="B159" s="6">
        <v>45772</v>
      </c>
      <c r="C159" s="5" t="s">
        <v>165</v>
      </c>
      <c r="D159" s="5" t="s">
        <v>1535</v>
      </c>
      <c r="E159" s="5">
        <v>5</v>
      </c>
      <c r="F159" s="5" t="s">
        <v>695</v>
      </c>
      <c r="G159" s="5">
        <v>18</v>
      </c>
      <c r="H159" s="5">
        <v>84.16</v>
      </c>
      <c r="I159" s="5" t="s">
        <v>865</v>
      </c>
      <c r="J159" s="5" t="str">
        <f t="shared" si="2"/>
        <v>REGULAR</v>
      </c>
    </row>
    <row r="160" spans="1:10" x14ac:dyDescent="0.25">
      <c r="A160" s="5">
        <v>5159</v>
      </c>
      <c r="B160" s="6">
        <v>45772</v>
      </c>
      <c r="C160" s="5" t="s">
        <v>166</v>
      </c>
      <c r="D160" s="5" t="s">
        <v>1535</v>
      </c>
      <c r="E160" s="5">
        <v>5</v>
      </c>
      <c r="F160" s="5" t="s">
        <v>696</v>
      </c>
      <c r="G160" s="5">
        <v>10</v>
      </c>
      <c r="H160" s="5">
        <v>157.30000000000001</v>
      </c>
      <c r="I160" s="5" t="s">
        <v>826</v>
      </c>
      <c r="J160" s="5" t="str">
        <f t="shared" si="2"/>
        <v>REGULAR</v>
      </c>
    </row>
    <row r="161" spans="1:10" x14ac:dyDescent="0.25">
      <c r="A161" s="5">
        <v>5160</v>
      </c>
      <c r="B161" s="6">
        <v>45772</v>
      </c>
      <c r="C161" s="5" t="s">
        <v>167</v>
      </c>
      <c r="D161" s="5" t="s">
        <v>1535</v>
      </c>
      <c r="E161" s="5">
        <v>5</v>
      </c>
      <c r="F161" s="5" t="s">
        <v>697</v>
      </c>
      <c r="G161" s="5">
        <v>30</v>
      </c>
      <c r="H161" s="5">
        <v>480.3</v>
      </c>
      <c r="I161" s="5" t="s">
        <v>866</v>
      </c>
      <c r="J161" s="5" t="str">
        <f t="shared" si="2"/>
        <v>BULK/HOSPITALS</v>
      </c>
    </row>
    <row r="162" spans="1:10" x14ac:dyDescent="0.25">
      <c r="A162" s="5">
        <v>5161</v>
      </c>
      <c r="B162" s="6">
        <v>45773</v>
      </c>
      <c r="C162" s="5" t="s">
        <v>168</v>
      </c>
      <c r="D162" s="5" t="s">
        <v>1535</v>
      </c>
      <c r="E162" s="5">
        <v>5</v>
      </c>
      <c r="F162" s="5" t="s">
        <v>698</v>
      </c>
      <c r="G162" s="5">
        <v>12</v>
      </c>
      <c r="H162" s="5">
        <v>248.06</v>
      </c>
      <c r="I162" s="5" t="s">
        <v>867</v>
      </c>
      <c r="J162" s="5" t="str">
        <f t="shared" si="2"/>
        <v>REGULAR</v>
      </c>
    </row>
    <row r="163" spans="1:10" x14ac:dyDescent="0.25">
      <c r="A163" s="5">
        <v>5162</v>
      </c>
      <c r="B163" s="6">
        <v>45773</v>
      </c>
      <c r="C163" s="5" t="s">
        <v>169</v>
      </c>
      <c r="D163" s="5" t="s">
        <v>1535</v>
      </c>
      <c r="E163" s="5">
        <v>5</v>
      </c>
      <c r="F163" s="5" t="s">
        <v>699</v>
      </c>
      <c r="G163" s="5">
        <v>48</v>
      </c>
      <c r="H163" s="5">
        <v>824.25</v>
      </c>
      <c r="I163" s="5" t="s">
        <v>868</v>
      </c>
      <c r="J163" s="5" t="str">
        <f t="shared" si="2"/>
        <v>BULK/HOSPITALS</v>
      </c>
    </row>
    <row r="164" spans="1:10" x14ac:dyDescent="0.25">
      <c r="A164" s="5">
        <v>5163</v>
      </c>
      <c r="B164" s="6">
        <v>45773</v>
      </c>
      <c r="C164" s="5" t="s">
        <v>170</v>
      </c>
      <c r="D164" s="5" t="s">
        <v>1538</v>
      </c>
      <c r="E164" s="5">
        <v>2</v>
      </c>
      <c r="F164" s="5" t="s">
        <v>700</v>
      </c>
      <c r="G164" s="5">
        <v>6</v>
      </c>
      <c r="H164" s="5">
        <v>1170</v>
      </c>
      <c r="I164" s="5" t="s">
        <v>869</v>
      </c>
      <c r="J164" s="5" t="str">
        <f t="shared" si="2"/>
        <v>REGULAR</v>
      </c>
    </row>
    <row r="165" spans="1:10" x14ac:dyDescent="0.25">
      <c r="A165" s="5">
        <v>5164</v>
      </c>
      <c r="B165" s="6">
        <v>45773</v>
      </c>
      <c r="C165" s="5" t="s">
        <v>171</v>
      </c>
      <c r="D165" s="5" t="s">
        <v>1538</v>
      </c>
      <c r="E165" s="5">
        <v>5</v>
      </c>
      <c r="F165" s="5" t="s">
        <v>701</v>
      </c>
      <c r="G165" s="5">
        <v>20</v>
      </c>
      <c r="H165" s="5">
        <v>7356</v>
      </c>
      <c r="I165" s="5" t="s">
        <v>869</v>
      </c>
      <c r="J165" s="5" t="str">
        <f t="shared" si="2"/>
        <v>REGULAR</v>
      </c>
    </row>
    <row r="166" spans="1:10" x14ac:dyDescent="0.25">
      <c r="A166" s="5">
        <v>5165</v>
      </c>
      <c r="B166" s="6">
        <v>45774</v>
      </c>
      <c r="C166" s="5" t="s">
        <v>172</v>
      </c>
      <c r="D166" s="5" t="s">
        <v>1538</v>
      </c>
      <c r="E166" s="5">
        <v>2</v>
      </c>
      <c r="F166" s="5" t="s">
        <v>702</v>
      </c>
      <c r="G166" s="5">
        <v>4</v>
      </c>
      <c r="H166" s="5">
        <v>354</v>
      </c>
      <c r="I166" s="5" t="s">
        <v>826</v>
      </c>
      <c r="J166" s="5" t="str">
        <f t="shared" si="2"/>
        <v>REGULAR</v>
      </c>
    </row>
    <row r="167" spans="1:10" x14ac:dyDescent="0.25">
      <c r="A167" s="5">
        <v>5166</v>
      </c>
      <c r="B167" s="6">
        <v>45774</v>
      </c>
      <c r="C167" s="5" t="s">
        <v>173</v>
      </c>
      <c r="D167" s="5" t="s">
        <v>1538</v>
      </c>
      <c r="E167" s="5">
        <v>2</v>
      </c>
      <c r="F167" s="5" t="s">
        <v>703</v>
      </c>
      <c r="G167" s="5">
        <v>1</v>
      </c>
      <c r="H167" s="5">
        <v>393</v>
      </c>
      <c r="I167" s="5" t="s">
        <v>870</v>
      </c>
      <c r="J167" s="5" t="str">
        <f t="shared" si="2"/>
        <v>RETAIL</v>
      </c>
    </row>
    <row r="168" spans="1:10" x14ac:dyDescent="0.25">
      <c r="A168" s="5">
        <v>5167</v>
      </c>
      <c r="B168" s="6">
        <v>45774</v>
      </c>
      <c r="C168" s="5" t="s">
        <v>174</v>
      </c>
      <c r="D168" s="5" t="s">
        <v>1538</v>
      </c>
      <c r="E168" s="5">
        <v>2</v>
      </c>
      <c r="F168" s="5" t="s">
        <v>704</v>
      </c>
      <c r="G168" s="5">
        <v>3</v>
      </c>
      <c r="H168" s="5">
        <v>275.62</v>
      </c>
      <c r="I168" s="5" t="s">
        <v>829</v>
      </c>
      <c r="J168" s="5" t="str">
        <f t="shared" si="2"/>
        <v>REGULAR</v>
      </c>
    </row>
    <row r="169" spans="1:10" x14ac:dyDescent="0.25">
      <c r="A169" s="5">
        <v>5168</v>
      </c>
      <c r="B169" s="6">
        <v>45775</v>
      </c>
      <c r="C169" s="5" t="s">
        <v>175</v>
      </c>
      <c r="D169" s="5" t="s">
        <v>1538</v>
      </c>
      <c r="E169" s="5">
        <v>2</v>
      </c>
      <c r="F169" s="5" t="s">
        <v>705</v>
      </c>
      <c r="G169" s="5">
        <v>1</v>
      </c>
      <c r="H169" s="5">
        <v>128.44999999999999</v>
      </c>
      <c r="I169" s="5" t="s">
        <v>871</v>
      </c>
      <c r="J169" s="5" t="str">
        <f t="shared" si="2"/>
        <v>RETAIL</v>
      </c>
    </row>
    <row r="170" spans="1:10" x14ac:dyDescent="0.25">
      <c r="A170" s="5">
        <v>5169</v>
      </c>
      <c r="B170" s="6">
        <v>45775</v>
      </c>
      <c r="C170" s="5" t="s">
        <v>176</v>
      </c>
      <c r="D170" s="5" t="s">
        <v>1538</v>
      </c>
      <c r="E170" s="5">
        <v>2</v>
      </c>
      <c r="F170" s="5" t="s">
        <v>706</v>
      </c>
      <c r="G170" s="5">
        <v>2</v>
      </c>
      <c r="H170" s="5">
        <v>268.39999999999998</v>
      </c>
      <c r="I170" s="5" t="s">
        <v>835</v>
      </c>
      <c r="J170" s="5" t="str">
        <f t="shared" si="2"/>
        <v>RETAIL</v>
      </c>
    </row>
    <row r="171" spans="1:10" x14ac:dyDescent="0.25">
      <c r="A171" s="5">
        <v>5170</v>
      </c>
      <c r="B171" s="6">
        <v>45775</v>
      </c>
      <c r="C171" s="5" t="s">
        <v>177</v>
      </c>
      <c r="D171" s="5" t="s">
        <v>1538</v>
      </c>
      <c r="E171" s="5">
        <v>2</v>
      </c>
      <c r="F171" s="5" t="s">
        <v>707</v>
      </c>
      <c r="G171" s="5">
        <v>1</v>
      </c>
      <c r="H171" s="5">
        <v>262.5</v>
      </c>
      <c r="I171" s="5" t="s">
        <v>872</v>
      </c>
      <c r="J171" s="5" t="str">
        <f t="shared" si="2"/>
        <v>RETAIL</v>
      </c>
    </row>
    <row r="172" spans="1:10" x14ac:dyDescent="0.25">
      <c r="A172" s="5">
        <v>5171</v>
      </c>
      <c r="B172" s="6">
        <v>45776</v>
      </c>
      <c r="C172" s="5" t="s">
        <v>178</v>
      </c>
      <c r="D172" s="5" t="s">
        <v>1538</v>
      </c>
      <c r="E172" s="5">
        <v>2</v>
      </c>
      <c r="F172" s="5" t="s">
        <v>708</v>
      </c>
      <c r="G172" s="5">
        <v>3</v>
      </c>
      <c r="H172" s="5">
        <v>60</v>
      </c>
      <c r="I172" s="5" t="s">
        <v>873</v>
      </c>
      <c r="J172" s="5" t="str">
        <f t="shared" si="2"/>
        <v>REGULAR</v>
      </c>
    </row>
    <row r="173" spans="1:10" x14ac:dyDescent="0.25">
      <c r="A173" s="5">
        <v>5172</v>
      </c>
      <c r="B173" s="6">
        <v>45776</v>
      </c>
      <c r="C173" s="5" t="s">
        <v>179</v>
      </c>
      <c r="D173" s="5" t="s">
        <v>1538</v>
      </c>
      <c r="E173" s="5">
        <v>2</v>
      </c>
      <c r="F173" s="5" t="s">
        <v>709</v>
      </c>
      <c r="G173" s="5">
        <v>1</v>
      </c>
      <c r="H173" s="5">
        <v>106</v>
      </c>
      <c r="I173" s="5" t="s">
        <v>874</v>
      </c>
      <c r="J173" s="5" t="str">
        <f t="shared" si="2"/>
        <v>RETAIL</v>
      </c>
    </row>
    <row r="174" spans="1:10" x14ac:dyDescent="0.25">
      <c r="A174" s="5">
        <v>5173</v>
      </c>
      <c r="B174" s="6">
        <v>45776</v>
      </c>
      <c r="C174" s="5" t="s">
        <v>180</v>
      </c>
      <c r="D174" s="5" t="s">
        <v>1535</v>
      </c>
      <c r="E174" s="5">
        <v>5</v>
      </c>
      <c r="F174" s="5" t="s">
        <v>710</v>
      </c>
      <c r="G174" s="5">
        <v>30</v>
      </c>
      <c r="H174" s="5">
        <v>248.4</v>
      </c>
      <c r="I174" s="5" t="s">
        <v>875</v>
      </c>
      <c r="J174" s="5" t="str">
        <f t="shared" si="2"/>
        <v>BULK/HOSPITALS</v>
      </c>
    </row>
    <row r="175" spans="1:10" x14ac:dyDescent="0.25">
      <c r="A175" s="5">
        <v>5174</v>
      </c>
      <c r="B175" s="6">
        <v>45776</v>
      </c>
      <c r="C175" s="5" t="s">
        <v>181</v>
      </c>
      <c r="D175" s="5" t="s">
        <v>1538</v>
      </c>
      <c r="E175" s="5">
        <v>10</v>
      </c>
      <c r="F175" s="5" t="s">
        <v>711</v>
      </c>
      <c r="G175" s="5">
        <v>110</v>
      </c>
      <c r="H175" s="5">
        <v>418</v>
      </c>
      <c r="I175" s="5" t="s">
        <v>822</v>
      </c>
      <c r="J175" s="5" t="str">
        <f t="shared" si="2"/>
        <v>BULK/HOSPITALS</v>
      </c>
    </row>
    <row r="176" spans="1:10" x14ac:dyDescent="0.25">
      <c r="A176" s="5">
        <v>5175</v>
      </c>
      <c r="B176" s="6">
        <v>45777</v>
      </c>
      <c r="C176" s="5" t="s">
        <v>182</v>
      </c>
      <c r="D176" s="5" t="s">
        <v>1538</v>
      </c>
      <c r="E176" s="5">
        <v>5</v>
      </c>
      <c r="F176" s="5" t="s">
        <v>712</v>
      </c>
      <c r="G176" s="5">
        <v>10</v>
      </c>
      <c r="H176" s="5">
        <v>35</v>
      </c>
      <c r="I176" s="5" t="s">
        <v>843</v>
      </c>
      <c r="J176" s="5" t="str">
        <f t="shared" si="2"/>
        <v>REGULAR</v>
      </c>
    </row>
    <row r="177" spans="1:10" x14ac:dyDescent="0.25">
      <c r="A177" s="5">
        <v>5176</v>
      </c>
      <c r="B177" s="6">
        <v>45777</v>
      </c>
      <c r="C177" s="5" t="s">
        <v>183</v>
      </c>
      <c r="D177" s="5" t="s">
        <v>1538</v>
      </c>
      <c r="E177" s="5">
        <v>7</v>
      </c>
      <c r="F177" s="5" t="s">
        <v>713</v>
      </c>
      <c r="G177" s="5">
        <v>80</v>
      </c>
      <c r="H177" s="5">
        <v>99</v>
      </c>
      <c r="I177" s="5" t="s">
        <v>843</v>
      </c>
      <c r="J177" s="5" t="str">
        <f t="shared" si="2"/>
        <v>BULK/HOSPITALS</v>
      </c>
    </row>
    <row r="178" spans="1:10" x14ac:dyDescent="0.25">
      <c r="A178" s="5">
        <v>5177</v>
      </c>
      <c r="B178" s="6">
        <v>45777</v>
      </c>
      <c r="C178" s="5" t="s">
        <v>184</v>
      </c>
      <c r="D178" s="5" t="s">
        <v>1536</v>
      </c>
      <c r="E178" s="5">
        <v>2</v>
      </c>
      <c r="F178" s="5" t="s">
        <v>714</v>
      </c>
      <c r="G178" s="5">
        <v>1</v>
      </c>
      <c r="H178" s="5">
        <v>379.68</v>
      </c>
      <c r="I178" s="5" t="s">
        <v>843</v>
      </c>
      <c r="J178" s="5" t="str">
        <f t="shared" si="2"/>
        <v>RETAIL</v>
      </c>
    </row>
    <row r="179" spans="1:10" x14ac:dyDescent="0.25">
      <c r="A179" s="5">
        <v>5178</v>
      </c>
      <c r="B179" s="6">
        <v>45777</v>
      </c>
      <c r="C179" s="5" t="s">
        <v>185</v>
      </c>
      <c r="D179" s="5" t="s">
        <v>1535</v>
      </c>
      <c r="E179" s="5">
        <v>5</v>
      </c>
      <c r="F179" s="5" t="s">
        <v>715</v>
      </c>
      <c r="G179" s="5">
        <v>30</v>
      </c>
      <c r="H179" s="5">
        <v>136</v>
      </c>
      <c r="I179" s="5" t="s">
        <v>876</v>
      </c>
      <c r="J179" s="5" t="str">
        <f t="shared" si="2"/>
        <v>BULK/HOSPITALS</v>
      </c>
    </row>
    <row r="180" spans="1:10" x14ac:dyDescent="0.25">
      <c r="A180" s="5">
        <v>5179</v>
      </c>
      <c r="B180" s="6">
        <v>45778</v>
      </c>
      <c r="C180" s="5" t="s">
        <v>186</v>
      </c>
      <c r="D180" s="5" t="s">
        <v>1538</v>
      </c>
      <c r="E180" s="5">
        <v>2</v>
      </c>
      <c r="F180" s="5" t="s">
        <v>716</v>
      </c>
      <c r="G180" s="5">
        <v>1</v>
      </c>
      <c r="H180" s="5">
        <v>150</v>
      </c>
      <c r="I180" s="5" t="s">
        <v>877</v>
      </c>
      <c r="J180" s="5" t="str">
        <f t="shared" si="2"/>
        <v>RETAIL</v>
      </c>
    </row>
    <row r="181" spans="1:10" x14ac:dyDescent="0.25">
      <c r="A181" s="5">
        <v>5180</v>
      </c>
      <c r="B181" s="6">
        <v>45778</v>
      </c>
      <c r="C181" s="5" t="s">
        <v>187</v>
      </c>
      <c r="D181" s="5" t="s">
        <v>1538</v>
      </c>
      <c r="E181" s="5">
        <v>2</v>
      </c>
      <c r="F181" s="5" t="s">
        <v>717</v>
      </c>
      <c r="G181" s="5">
        <v>1</v>
      </c>
      <c r="H181" s="5">
        <v>370</v>
      </c>
      <c r="I181" s="5" t="s">
        <v>877</v>
      </c>
      <c r="J181" s="5" t="str">
        <f t="shared" si="2"/>
        <v>RETAIL</v>
      </c>
    </row>
    <row r="182" spans="1:10" x14ac:dyDescent="0.25">
      <c r="A182" s="5">
        <v>5181</v>
      </c>
      <c r="B182" s="6">
        <v>45778</v>
      </c>
      <c r="C182" s="5" t="s">
        <v>188</v>
      </c>
      <c r="D182" s="5" t="s">
        <v>1538</v>
      </c>
      <c r="E182" s="5">
        <v>2</v>
      </c>
      <c r="F182" s="5" t="s">
        <v>718</v>
      </c>
      <c r="G182" s="5">
        <v>2</v>
      </c>
      <c r="H182" s="5">
        <v>90</v>
      </c>
      <c r="I182" s="5" t="s">
        <v>877</v>
      </c>
      <c r="J182" s="5" t="str">
        <f t="shared" si="2"/>
        <v>RETAIL</v>
      </c>
    </row>
    <row r="183" spans="1:10" x14ac:dyDescent="0.25">
      <c r="A183" s="5">
        <v>5182</v>
      </c>
      <c r="B183" s="6">
        <v>45778</v>
      </c>
      <c r="C183" s="5" t="s">
        <v>189</v>
      </c>
      <c r="D183" s="5" t="s">
        <v>1538</v>
      </c>
      <c r="E183" s="5">
        <v>2</v>
      </c>
      <c r="F183" s="5" t="s">
        <v>719</v>
      </c>
      <c r="G183" s="5">
        <v>1</v>
      </c>
      <c r="H183" s="5">
        <v>190</v>
      </c>
      <c r="I183" s="5" t="s">
        <v>877</v>
      </c>
      <c r="J183" s="5" t="str">
        <f t="shared" si="2"/>
        <v>RETAIL</v>
      </c>
    </row>
    <row r="184" spans="1:10" x14ac:dyDescent="0.25">
      <c r="A184" s="5">
        <v>5183</v>
      </c>
      <c r="B184" s="6">
        <v>45778</v>
      </c>
      <c r="C184" s="5" t="s">
        <v>190</v>
      </c>
      <c r="D184" s="5" t="s">
        <v>1538</v>
      </c>
      <c r="E184" s="5">
        <v>2</v>
      </c>
      <c r="F184" s="5" t="s">
        <v>720</v>
      </c>
      <c r="G184" s="5">
        <v>1</v>
      </c>
      <c r="H184" s="5">
        <v>190</v>
      </c>
      <c r="I184" s="5" t="s">
        <v>877</v>
      </c>
      <c r="J184" s="5" t="str">
        <f t="shared" si="2"/>
        <v>RETAIL</v>
      </c>
    </row>
    <row r="185" spans="1:10" x14ac:dyDescent="0.25">
      <c r="A185" s="5">
        <v>5184</v>
      </c>
      <c r="B185" s="6">
        <v>45779</v>
      </c>
      <c r="C185" s="5" t="s">
        <v>191</v>
      </c>
      <c r="D185" s="5" t="s">
        <v>1538</v>
      </c>
      <c r="E185" s="5">
        <v>2</v>
      </c>
      <c r="F185" s="5" t="s">
        <v>721</v>
      </c>
      <c r="G185" s="5">
        <v>1</v>
      </c>
      <c r="H185" s="5">
        <v>380</v>
      </c>
      <c r="I185" s="5" t="s">
        <v>877</v>
      </c>
      <c r="J185" s="5" t="str">
        <f t="shared" si="2"/>
        <v>RETAIL</v>
      </c>
    </row>
    <row r="186" spans="1:10" x14ac:dyDescent="0.25">
      <c r="A186" s="5">
        <v>5185</v>
      </c>
      <c r="B186" s="6">
        <v>45779</v>
      </c>
      <c r="C186" s="5" t="s">
        <v>192</v>
      </c>
      <c r="D186" s="5" t="s">
        <v>1538</v>
      </c>
      <c r="E186" s="5">
        <v>2</v>
      </c>
      <c r="F186" s="5" t="s">
        <v>722</v>
      </c>
      <c r="G186" s="5">
        <v>2</v>
      </c>
      <c r="H186" s="5">
        <v>99</v>
      </c>
      <c r="I186" s="5" t="s">
        <v>877</v>
      </c>
      <c r="J186" s="5" t="str">
        <f t="shared" si="2"/>
        <v>RETAIL</v>
      </c>
    </row>
    <row r="187" spans="1:10" x14ac:dyDescent="0.25">
      <c r="A187" s="5">
        <v>5186</v>
      </c>
      <c r="B187" s="6">
        <v>45779</v>
      </c>
      <c r="C187" s="5" t="s">
        <v>193</v>
      </c>
      <c r="D187" s="5" t="s">
        <v>1538</v>
      </c>
      <c r="E187" s="5">
        <v>2</v>
      </c>
      <c r="F187" s="5" t="s">
        <v>723</v>
      </c>
      <c r="G187" s="5">
        <v>1</v>
      </c>
      <c r="H187" s="5">
        <v>275.5</v>
      </c>
      <c r="I187" s="5" t="s">
        <v>877</v>
      </c>
      <c r="J187" s="5" t="str">
        <f t="shared" si="2"/>
        <v>RETAIL</v>
      </c>
    </row>
    <row r="188" spans="1:10" x14ac:dyDescent="0.25">
      <c r="A188" s="5">
        <v>5187</v>
      </c>
      <c r="B188" s="6">
        <v>45779</v>
      </c>
      <c r="C188" s="5" t="s">
        <v>194</v>
      </c>
      <c r="D188" s="5" t="s">
        <v>1538</v>
      </c>
      <c r="E188" s="5">
        <v>5</v>
      </c>
      <c r="F188" s="5" t="s">
        <v>724</v>
      </c>
      <c r="G188" s="5">
        <v>10</v>
      </c>
      <c r="H188" s="5">
        <v>195.02</v>
      </c>
      <c r="I188" s="5" t="s">
        <v>878</v>
      </c>
      <c r="J188" s="5" t="str">
        <f t="shared" si="2"/>
        <v>REGULAR</v>
      </c>
    </row>
    <row r="189" spans="1:10" x14ac:dyDescent="0.25">
      <c r="A189" s="5">
        <v>5188</v>
      </c>
      <c r="B189" s="6">
        <v>45780</v>
      </c>
      <c r="C189" s="5" t="s">
        <v>195</v>
      </c>
      <c r="D189" s="5" t="s">
        <v>1535</v>
      </c>
      <c r="E189" s="5">
        <v>7</v>
      </c>
      <c r="F189" s="5" t="s">
        <v>725</v>
      </c>
      <c r="G189" s="5">
        <v>70</v>
      </c>
      <c r="H189" s="5">
        <v>264.36</v>
      </c>
      <c r="I189" s="5" t="s">
        <v>879</v>
      </c>
      <c r="J189" s="5" t="str">
        <f t="shared" si="2"/>
        <v>BULK/HOSPITALS</v>
      </c>
    </row>
    <row r="190" spans="1:10" x14ac:dyDescent="0.25">
      <c r="A190" s="5">
        <v>5189</v>
      </c>
      <c r="B190" s="6">
        <v>45780</v>
      </c>
      <c r="C190" s="5" t="s">
        <v>196</v>
      </c>
      <c r="D190" s="5" t="s">
        <v>1535</v>
      </c>
      <c r="E190" s="5">
        <v>5</v>
      </c>
      <c r="F190" s="5" t="s">
        <v>726</v>
      </c>
      <c r="G190" s="5">
        <v>20</v>
      </c>
      <c r="H190" s="5">
        <v>216.9</v>
      </c>
      <c r="I190" s="5" t="s">
        <v>880</v>
      </c>
      <c r="J190" s="5" t="str">
        <f t="shared" si="2"/>
        <v>REGULAR</v>
      </c>
    </row>
    <row r="191" spans="1:10" x14ac:dyDescent="0.25">
      <c r="A191" s="5">
        <v>5190</v>
      </c>
      <c r="B191" s="6">
        <v>45780</v>
      </c>
      <c r="C191" s="5" t="s">
        <v>197</v>
      </c>
      <c r="D191" s="5" t="s">
        <v>1535</v>
      </c>
      <c r="E191" s="5">
        <v>5</v>
      </c>
      <c r="F191" s="5" t="s">
        <v>727</v>
      </c>
      <c r="G191" s="5">
        <v>30</v>
      </c>
      <c r="H191" s="5">
        <v>384</v>
      </c>
      <c r="I191" s="5" t="s">
        <v>881</v>
      </c>
      <c r="J191" s="5" t="str">
        <f t="shared" si="2"/>
        <v>BULK/HOSPITALS</v>
      </c>
    </row>
    <row r="192" spans="1:10" x14ac:dyDescent="0.25">
      <c r="A192" s="5">
        <v>5191</v>
      </c>
      <c r="B192" s="6">
        <v>45780</v>
      </c>
      <c r="C192" s="5" t="s">
        <v>198</v>
      </c>
      <c r="D192" s="5" t="s">
        <v>1538</v>
      </c>
      <c r="E192" s="5">
        <v>2</v>
      </c>
      <c r="F192" s="5" t="s">
        <v>728</v>
      </c>
      <c r="G192" s="5">
        <v>8</v>
      </c>
      <c r="H192" s="5">
        <v>2042</v>
      </c>
      <c r="I192" s="5" t="s">
        <v>882</v>
      </c>
      <c r="J192" s="5" t="str">
        <f t="shared" si="2"/>
        <v>REGULAR</v>
      </c>
    </row>
    <row r="193" spans="1:10" x14ac:dyDescent="0.25">
      <c r="A193" s="5">
        <v>5192</v>
      </c>
      <c r="B193" s="6">
        <v>45781</v>
      </c>
      <c r="C193" s="5" t="s">
        <v>199</v>
      </c>
      <c r="D193" s="5" t="s">
        <v>1538</v>
      </c>
      <c r="E193" s="5">
        <v>7</v>
      </c>
      <c r="F193" s="5" t="s">
        <v>729</v>
      </c>
      <c r="G193" s="5">
        <v>53</v>
      </c>
      <c r="H193" s="5">
        <v>594</v>
      </c>
      <c r="I193" s="5" t="s">
        <v>883</v>
      </c>
      <c r="J193" s="5" t="str">
        <f t="shared" si="2"/>
        <v>BULK/HOSPITALS</v>
      </c>
    </row>
    <row r="194" spans="1:10" x14ac:dyDescent="0.25">
      <c r="A194" s="5">
        <v>5193</v>
      </c>
      <c r="B194" s="6">
        <v>45781</v>
      </c>
      <c r="C194" s="5" t="s">
        <v>200</v>
      </c>
      <c r="D194" s="5" t="s">
        <v>1538</v>
      </c>
      <c r="E194" s="5">
        <v>5</v>
      </c>
      <c r="F194" s="5" t="s">
        <v>730</v>
      </c>
      <c r="G194" s="5">
        <v>33</v>
      </c>
      <c r="H194" s="5">
        <v>1916.26</v>
      </c>
      <c r="I194" s="5" t="s">
        <v>884</v>
      </c>
      <c r="J194" s="5" t="str">
        <f t="shared" si="2"/>
        <v>BULK/HOSPITALS</v>
      </c>
    </row>
    <row r="195" spans="1:10" x14ac:dyDescent="0.25">
      <c r="A195" s="5">
        <v>5194</v>
      </c>
      <c r="B195" s="6">
        <v>45781</v>
      </c>
      <c r="C195" s="5" t="s">
        <v>201</v>
      </c>
      <c r="D195" s="5" t="s">
        <v>1538</v>
      </c>
      <c r="E195" s="5">
        <v>7</v>
      </c>
      <c r="F195" s="5" t="s">
        <v>731</v>
      </c>
      <c r="G195" s="5">
        <v>53</v>
      </c>
      <c r="H195" s="5">
        <v>315</v>
      </c>
      <c r="I195" s="5" t="s">
        <v>884</v>
      </c>
      <c r="J195" s="5" t="str">
        <f t="shared" ref="J195:J258" si="3">IF(G195&lt;=2,"RETAIL",IF(G195&lt;=20,"REGULAR",IF(G195&gt;20,"BULK/HOSPITALS")))</f>
        <v>BULK/HOSPITALS</v>
      </c>
    </row>
    <row r="196" spans="1:10" x14ac:dyDescent="0.25">
      <c r="A196" s="5">
        <v>5195</v>
      </c>
      <c r="B196" s="6">
        <v>45781</v>
      </c>
      <c r="C196" s="5" t="s">
        <v>202</v>
      </c>
      <c r="D196" s="5" t="s">
        <v>1538</v>
      </c>
      <c r="E196" s="5">
        <v>2</v>
      </c>
      <c r="F196" s="5" t="s">
        <v>732</v>
      </c>
      <c r="G196" s="5">
        <v>5</v>
      </c>
      <c r="H196" s="5">
        <v>2371.92</v>
      </c>
      <c r="I196" s="5" t="s">
        <v>884</v>
      </c>
      <c r="J196" s="5" t="str">
        <f t="shared" si="3"/>
        <v>REGULAR</v>
      </c>
    </row>
    <row r="197" spans="1:10" x14ac:dyDescent="0.25">
      <c r="A197" s="5">
        <v>5196</v>
      </c>
      <c r="B197" s="6">
        <v>45782</v>
      </c>
      <c r="C197" s="5" t="s">
        <v>203</v>
      </c>
      <c r="D197" s="5" t="s">
        <v>1535</v>
      </c>
      <c r="E197" s="5">
        <v>10</v>
      </c>
      <c r="F197" s="5" t="s">
        <v>733</v>
      </c>
      <c r="G197" s="5">
        <v>120</v>
      </c>
      <c r="H197" s="5">
        <v>80</v>
      </c>
      <c r="I197" s="5" t="s">
        <v>885</v>
      </c>
      <c r="J197" s="5" t="str">
        <f t="shared" si="3"/>
        <v>BULK/HOSPITALS</v>
      </c>
    </row>
    <row r="198" spans="1:10" x14ac:dyDescent="0.25">
      <c r="A198" s="5">
        <v>5197</v>
      </c>
      <c r="B198" s="6">
        <v>45782</v>
      </c>
      <c r="C198" s="5" t="s">
        <v>204</v>
      </c>
      <c r="D198" s="5" t="s">
        <v>1538</v>
      </c>
      <c r="E198" s="5">
        <v>2</v>
      </c>
      <c r="F198" s="5" t="s">
        <v>734</v>
      </c>
      <c r="G198" s="5">
        <v>1</v>
      </c>
      <c r="H198" s="5">
        <v>311.95</v>
      </c>
      <c r="I198" s="5" t="s">
        <v>886</v>
      </c>
      <c r="J198" s="5" t="str">
        <f t="shared" si="3"/>
        <v>RETAIL</v>
      </c>
    </row>
    <row r="199" spans="1:10" x14ac:dyDescent="0.25">
      <c r="A199" s="5">
        <v>5198</v>
      </c>
      <c r="B199" s="6">
        <v>45782</v>
      </c>
      <c r="C199" s="5" t="s">
        <v>205</v>
      </c>
      <c r="D199" s="5" t="s">
        <v>1538</v>
      </c>
      <c r="E199" s="5">
        <v>2</v>
      </c>
      <c r="F199" s="5" t="s">
        <v>735</v>
      </c>
      <c r="G199" s="5">
        <v>1</v>
      </c>
      <c r="H199" s="5">
        <v>219.65</v>
      </c>
      <c r="I199" s="5" t="s">
        <v>887</v>
      </c>
      <c r="J199" s="5" t="str">
        <f t="shared" si="3"/>
        <v>RETAIL</v>
      </c>
    </row>
    <row r="200" spans="1:10" x14ac:dyDescent="0.25">
      <c r="A200" s="5">
        <v>5199</v>
      </c>
      <c r="B200" s="6">
        <v>45783</v>
      </c>
      <c r="C200" s="5" t="s">
        <v>206</v>
      </c>
      <c r="D200" s="5" t="s">
        <v>1535</v>
      </c>
      <c r="E200" s="5">
        <v>10</v>
      </c>
      <c r="F200" s="5" t="s">
        <v>736</v>
      </c>
      <c r="G200" s="5">
        <v>100</v>
      </c>
      <c r="H200" s="5">
        <v>67</v>
      </c>
      <c r="I200" s="5" t="s">
        <v>888</v>
      </c>
      <c r="J200" s="5" t="str">
        <f t="shared" si="3"/>
        <v>BULK/HOSPITALS</v>
      </c>
    </row>
    <row r="201" spans="1:10" x14ac:dyDescent="0.25">
      <c r="A201" s="5">
        <v>5200</v>
      </c>
      <c r="B201" s="6">
        <v>45783</v>
      </c>
      <c r="C201" s="5" t="s">
        <v>207</v>
      </c>
      <c r="D201" s="5" t="s">
        <v>1535</v>
      </c>
      <c r="E201" s="5">
        <v>5</v>
      </c>
      <c r="F201" s="5" t="s">
        <v>737</v>
      </c>
      <c r="G201" s="5">
        <v>20</v>
      </c>
      <c r="H201" s="5">
        <v>471.55</v>
      </c>
      <c r="I201" s="5" t="s">
        <v>889</v>
      </c>
      <c r="J201" s="5" t="str">
        <f t="shared" si="3"/>
        <v>REGULAR</v>
      </c>
    </row>
    <row r="202" spans="1:10" x14ac:dyDescent="0.25">
      <c r="A202" s="5">
        <v>5201</v>
      </c>
      <c r="B202" s="6">
        <v>45783</v>
      </c>
      <c r="C202" s="5" t="s">
        <v>208</v>
      </c>
      <c r="D202" s="5" t="s">
        <v>1538</v>
      </c>
      <c r="E202" s="5">
        <v>2</v>
      </c>
      <c r="F202" s="5" t="s">
        <v>738</v>
      </c>
      <c r="G202" s="5">
        <v>1</v>
      </c>
      <c r="H202" s="5">
        <v>795</v>
      </c>
      <c r="I202" s="5" t="s">
        <v>890</v>
      </c>
      <c r="J202" s="5" t="str">
        <f t="shared" si="3"/>
        <v>RETAIL</v>
      </c>
    </row>
    <row r="203" spans="1:10" x14ac:dyDescent="0.25">
      <c r="A203" s="5">
        <v>5202</v>
      </c>
      <c r="B203" s="6">
        <v>45783</v>
      </c>
      <c r="C203" s="5" t="s">
        <v>209</v>
      </c>
      <c r="D203" s="5" t="s">
        <v>1538</v>
      </c>
      <c r="E203" s="5">
        <v>2</v>
      </c>
      <c r="F203" s="5" t="s">
        <v>739</v>
      </c>
      <c r="G203" s="5">
        <v>3</v>
      </c>
      <c r="H203" s="5">
        <v>246.64</v>
      </c>
      <c r="I203" s="5" t="s">
        <v>822</v>
      </c>
      <c r="J203" s="5" t="str">
        <f t="shared" si="3"/>
        <v>REGULAR</v>
      </c>
    </row>
    <row r="204" spans="1:10" x14ac:dyDescent="0.25">
      <c r="A204" s="5">
        <v>5203</v>
      </c>
      <c r="B204" s="6">
        <v>45784</v>
      </c>
      <c r="C204" s="5" t="s">
        <v>210</v>
      </c>
      <c r="D204" s="5" t="s">
        <v>1535</v>
      </c>
      <c r="E204" s="5">
        <v>5</v>
      </c>
      <c r="F204" s="5" t="s">
        <v>740</v>
      </c>
      <c r="G204" s="5">
        <v>40</v>
      </c>
      <c r="H204" s="5">
        <v>288.69</v>
      </c>
      <c r="I204" s="5" t="s">
        <v>891</v>
      </c>
      <c r="J204" s="5" t="str">
        <f t="shared" si="3"/>
        <v>BULK/HOSPITALS</v>
      </c>
    </row>
    <row r="205" spans="1:10" x14ac:dyDescent="0.25">
      <c r="A205" s="5">
        <v>5204</v>
      </c>
      <c r="B205" s="6">
        <v>45784</v>
      </c>
      <c r="C205" s="5" t="s">
        <v>211</v>
      </c>
      <c r="D205" s="5" t="s">
        <v>1536</v>
      </c>
      <c r="E205" s="5">
        <v>2</v>
      </c>
      <c r="F205" s="5" t="s">
        <v>741</v>
      </c>
      <c r="G205" s="5">
        <v>2</v>
      </c>
      <c r="H205" s="5">
        <v>116.85</v>
      </c>
      <c r="I205" s="5" t="s">
        <v>892</v>
      </c>
      <c r="J205" s="5" t="str">
        <f t="shared" si="3"/>
        <v>RETAIL</v>
      </c>
    </row>
    <row r="206" spans="1:10" x14ac:dyDescent="0.25">
      <c r="A206" s="5">
        <v>5205</v>
      </c>
      <c r="B206" s="6">
        <v>45784</v>
      </c>
      <c r="C206" s="5" t="s">
        <v>212</v>
      </c>
      <c r="D206" s="5" t="s">
        <v>1535</v>
      </c>
      <c r="E206" s="5">
        <v>5</v>
      </c>
      <c r="F206" s="5" t="s">
        <v>742</v>
      </c>
      <c r="G206" s="5">
        <v>30</v>
      </c>
      <c r="H206" s="5">
        <v>103.4</v>
      </c>
      <c r="I206" s="5" t="s">
        <v>893</v>
      </c>
      <c r="J206" s="5" t="str">
        <f t="shared" si="3"/>
        <v>BULK/HOSPITALS</v>
      </c>
    </row>
    <row r="207" spans="1:10" x14ac:dyDescent="0.25">
      <c r="A207" s="5">
        <v>5206</v>
      </c>
      <c r="B207" s="6">
        <v>45784</v>
      </c>
      <c r="C207" s="5" t="s">
        <v>213</v>
      </c>
      <c r="D207" s="5" t="s">
        <v>1538</v>
      </c>
      <c r="E207" s="5">
        <v>5</v>
      </c>
      <c r="F207" s="5" t="s">
        <v>743</v>
      </c>
      <c r="G207" s="5">
        <v>10</v>
      </c>
      <c r="H207" s="5">
        <v>131.54</v>
      </c>
      <c r="I207" s="5" t="s">
        <v>894</v>
      </c>
      <c r="J207" s="5" t="str">
        <f t="shared" si="3"/>
        <v>REGULAR</v>
      </c>
    </row>
    <row r="208" spans="1:10" x14ac:dyDescent="0.25">
      <c r="A208" s="5">
        <v>5207</v>
      </c>
      <c r="B208" s="6">
        <v>45784</v>
      </c>
      <c r="C208" s="5" t="s">
        <v>214</v>
      </c>
      <c r="D208" s="5" t="s">
        <v>1538</v>
      </c>
      <c r="E208" s="5">
        <v>2</v>
      </c>
      <c r="F208" s="5" t="s">
        <v>744</v>
      </c>
      <c r="G208" s="5">
        <v>4</v>
      </c>
      <c r="H208" s="5">
        <v>105</v>
      </c>
      <c r="I208" s="5" t="s">
        <v>894</v>
      </c>
      <c r="J208" s="5" t="str">
        <f t="shared" si="3"/>
        <v>REGULAR</v>
      </c>
    </row>
    <row r="209" spans="1:10" x14ac:dyDescent="0.25">
      <c r="A209" s="5">
        <v>5208</v>
      </c>
      <c r="B209" s="6">
        <v>45785</v>
      </c>
      <c r="C209" s="5" t="s">
        <v>215</v>
      </c>
      <c r="D209" s="5" t="s">
        <v>1538</v>
      </c>
      <c r="E209" s="5">
        <v>2</v>
      </c>
      <c r="F209" s="5" t="s">
        <v>744</v>
      </c>
      <c r="G209" s="5">
        <v>1</v>
      </c>
      <c r="H209" s="5">
        <v>105</v>
      </c>
      <c r="I209" s="5" t="s">
        <v>895</v>
      </c>
      <c r="J209" s="5" t="str">
        <f t="shared" si="3"/>
        <v>RETAIL</v>
      </c>
    </row>
    <row r="210" spans="1:10" x14ac:dyDescent="0.25">
      <c r="A210" s="5">
        <v>5209</v>
      </c>
      <c r="B210" s="6">
        <v>45785</v>
      </c>
      <c r="C210" s="5" t="s">
        <v>217</v>
      </c>
      <c r="D210" s="5" t="s">
        <v>1538</v>
      </c>
      <c r="E210" s="5">
        <v>2</v>
      </c>
      <c r="F210" s="5" t="s">
        <v>896</v>
      </c>
      <c r="G210" s="5">
        <v>1</v>
      </c>
      <c r="H210" s="5">
        <v>240</v>
      </c>
      <c r="I210" s="5" t="s">
        <v>895</v>
      </c>
      <c r="J210" s="5" t="str">
        <f t="shared" si="3"/>
        <v>RETAIL</v>
      </c>
    </row>
    <row r="211" spans="1:10" x14ac:dyDescent="0.25">
      <c r="A211" s="5">
        <v>5210</v>
      </c>
      <c r="B211" s="6">
        <v>45785</v>
      </c>
      <c r="C211" s="5" t="s">
        <v>544</v>
      </c>
      <c r="D211" s="5" t="s">
        <v>1538</v>
      </c>
      <c r="E211" s="5">
        <v>2</v>
      </c>
      <c r="F211" s="5" t="s">
        <v>897</v>
      </c>
      <c r="G211" s="5">
        <v>1</v>
      </c>
      <c r="H211" s="5">
        <v>92</v>
      </c>
      <c r="I211" s="5" t="s">
        <v>895</v>
      </c>
      <c r="J211" s="5" t="str">
        <f t="shared" si="3"/>
        <v>RETAIL</v>
      </c>
    </row>
    <row r="212" spans="1:10" ht="17.25" customHeight="1" x14ac:dyDescent="0.25">
      <c r="A212" s="5">
        <v>5211</v>
      </c>
      <c r="B212" s="6">
        <v>45786</v>
      </c>
      <c r="C212" s="5" t="s">
        <v>218</v>
      </c>
      <c r="D212" s="5" t="s">
        <v>1536</v>
      </c>
      <c r="E212" s="5">
        <v>2</v>
      </c>
      <c r="F212" s="7" t="s">
        <v>898</v>
      </c>
      <c r="G212" s="5">
        <v>1</v>
      </c>
      <c r="H212" s="5">
        <v>125</v>
      </c>
      <c r="I212" s="5" t="s">
        <v>895</v>
      </c>
      <c r="J212" s="5" t="str">
        <f t="shared" si="3"/>
        <v>RETAIL</v>
      </c>
    </row>
    <row r="213" spans="1:10" x14ac:dyDescent="0.25">
      <c r="A213" s="5">
        <v>5212</v>
      </c>
      <c r="B213" s="6">
        <v>45786</v>
      </c>
      <c r="C213" s="5" t="s">
        <v>545</v>
      </c>
      <c r="D213" s="5" t="s">
        <v>1538</v>
      </c>
      <c r="E213" s="5">
        <v>2</v>
      </c>
      <c r="F213" s="5" t="s">
        <v>899</v>
      </c>
      <c r="G213" s="5">
        <v>1</v>
      </c>
      <c r="H213" s="5">
        <v>127</v>
      </c>
      <c r="I213" s="5" t="s">
        <v>895</v>
      </c>
      <c r="J213" s="5" t="str">
        <f t="shared" si="3"/>
        <v>RETAIL</v>
      </c>
    </row>
    <row r="214" spans="1:10" x14ac:dyDescent="0.25">
      <c r="A214" s="5">
        <v>5213</v>
      </c>
      <c r="B214" s="6">
        <v>45786</v>
      </c>
      <c r="C214" s="5" t="s">
        <v>219</v>
      </c>
      <c r="D214" s="5" t="s">
        <v>1538</v>
      </c>
      <c r="E214" s="5">
        <v>10</v>
      </c>
      <c r="F214" s="5" t="s">
        <v>900</v>
      </c>
      <c r="G214" s="5">
        <v>120</v>
      </c>
      <c r="H214" s="5">
        <v>1200</v>
      </c>
      <c r="I214" s="5" t="s">
        <v>945</v>
      </c>
      <c r="J214" s="5" t="str">
        <f t="shared" si="3"/>
        <v>BULK/HOSPITALS</v>
      </c>
    </row>
    <row r="215" spans="1:10" x14ac:dyDescent="0.25">
      <c r="A215" s="5">
        <v>5214</v>
      </c>
      <c r="B215" s="6">
        <v>45786</v>
      </c>
      <c r="C215" s="5" t="s">
        <v>220</v>
      </c>
      <c r="D215" s="5" t="s">
        <v>1538</v>
      </c>
      <c r="E215" s="5">
        <v>5</v>
      </c>
      <c r="F215" s="5" t="s">
        <v>901</v>
      </c>
      <c r="G215" s="5">
        <v>10</v>
      </c>
      <c r="H215" s="5">
        <v>156</v>
      </c>
      <c r="I215" s="5" t="s">
        <v>946</v>
      </c>
      <c r="J215" s="5" t="str">
        <f t="shared" si="3"/>
        <v>REGULAR</v>
      </c>
    </row>
    <row r="216" spans="1:10" x14ac:dyDescent="0.25">
      <c r="A216" s="5">
        <v>5215</v>
      </c>
      <c r="B216" s="6">
        <v>45787</v>
      </c>
      <c r="C216" s="5" t="s">
        <v>542</v>
      </c>
      <c r="D216" s="5" t="s">
        <v>1535</v>
      </c>
      <c r="E216" s="5">
        <v>10</v>
      </c>
      <c r="F216" s="5" t="s">
        <v>902</v>
      </c>
      <c r="G216" s="5">
        <v>145</v>
      </c>
      <c r="H216" s="5">
        <v>608.04999999999995</v>
      </c>
      <c r="I216" s="5" t="s">
        <v>947</v>
      </c>
      <c r="J216" s="5" t="str">
        <f t="shared" si="3"/>
        <v>BULK/HOSPITALS</v>
      </c>
    </row>
    <row r="217" spans="1:10" x14ac:dyDescent="0.25">
      <c r="A217" s="5">
        <v>5216</v>
      </c>
      <c r="B217" s="6">
        <v>45787</v>
      </c>
      <c r="C217" s="5" t="s">
        <v>216</v>
      </c>
      <c r="D217" s="5" t="s">
        <v>1535</v>
      </c>
      <c r="E217" s="5">
        <v>5</v>
      </c>
      <c r="F217" s="5" t="s">
        <v>903</v>
      </c>
      <c r="G217" s="5">
        <v>30</v>
      </c>
      <c r="H217" s="5">
        <v>561.99</v>
      </c>
      <c r="I217" s="5" t="s">
        <v>948</v>
      </c>
      <c r="J217" s="5" t="str">
        <f t="shared" si="3"/>
        <v>BULK/HOSPITALS</v>
      </c>
    </row>
    <row r="218" spans="1:10" x14ac:dyDescent="0.25">
      <c r="A218" s="5">
        <v>5217</v>
      </c>
      <c r="B218" s="6">
        <v>45787</v>
      </c>
      <c r="C218" s="5" t="s">
        <v>543</v>
      </c>
      <c r="D218" s="5" t="s">
        <v>1535</v>
      </c>
      <c r="E218" s="5">
        <v>5</v>
      </c>
      <c r="F218" s="5" t="s">
        <v>904</v>
      </c>
      <c r="G218" s="5">
        <v>15</v>
      </c>
      <c r="H218" s="5">
        <v>168</v>
      </c>
      <c r="I218" s="5" t="s">
        <v>948</v>
      </c>
      <c r="J218" s="5" t="str">
        <f t="shared" si="3"/>
        <v>REGULAR</v>
      </c>
    </row>
    <row r="219" spans="1:10" x14ac:dyDescent="0.25">
      <c r="A219" s="5">
        <v>5218</v>
      </c>
      <c r="B219" s="6">
        <v>45787</v>
      </c>
      <c r="C219" s="5" t="s">
        <v>221</v>
      </c>
      <c r="D219" s="5" t="s">
        <v>1535</v>
      </c>
      <c r="E219" s="5">
        <v>10</v>
      </c>
      <c r="F219" s="5" t="s">
        <v>905</v>
      </c>
      <c r="G219" s="5">
        <v>180</v>
      </c>
      <c r="H219" s="5">
        <v>4941.18</v>
      </c>
      <c r="I219" s="5" t="s">
        <v>949</v>
      </c>
      <c r="J219" s="5" t="str">
        <f t="shared" si="3"/>
        <v>BULK/HOSPITALS</v>
      </c>
    </row>
    <row r="220" spans="1:10" x14ac:dyDescent="0.25">
      <c r="A220" s="5">
        <v>5219</v>
      </c>
      <c r="B220" s="6">
        <v>45787</v>
      </c>
      <c r="C220" s="5" t="s">
        <v>222</v>
      </c>
      <c r="D220" s="5" t="s">
        <v>1538</v>
      </c>
      <c r="E220" s="5">
        <v>5</v>
      </c>
      <c r="F220" s="5" t="s">
        <v>906</v>
      </c>
      <c r="G220" s="5">
        <v>30</v>
      </c>
      <c r="H220" s="5">
        <v>40.590000000000003</v>
      </c>
      <c r="I220" s="5" t="s">
        <v>950</v>
      </c>
      <c r="J220" s="5" t="str">
        <f t="shared" si="3"/>
        <v>BULK/HOSPITALS</v>
      </c>
    </row>
    <row r="221" spans="1:10" x14ac:dyDescent="0.25">
      <c r="A221" s="5">
        <v>5220</v>
      </c>
      <c r="B221" s="6">
        <v>45788</v>
      </c>
      <c r="C221" s="5" t="s">
        <v>223</v>
      </c>
      <c r="D221" s="5" t="s">
        <v>1538</v>
      </c>
      <c r="E221" s="5">
        <v>2</v>
      </c>
      <c r="F221" s="5" t="s">
        <v>907</v>
      </c>
      <c r="G221" s="5">
        <v>1</v>
      </c>
      <c r="H221" s="5">
        <v>249</v>
      </c>
      <c r="I221" s="5" t="s">
        <v>951</v>
      </c>
      <c r="J221" s="5" t="str">
        <f t="shared" si="3"/>
        <v>RETAIL</v>
      </c>
    </row>
    <row r="222" spans="1:10" x14ac:dyDescent="0.25">
      <c r="A222" s="5">
        <v>5221</v>
      </c>
      <c r="B222" s="6">
        <v>45788</v>
      </c>
      <c r="C222" s="5" t="s">
        <v>224</v>
      </c>
      <c r="D222" s="5" t="s">
        <v>1538</v>
      </c>
      <c r="E222" s="5">
        <v>2</v>
      </c>
      <c r="F222" s="5" t="s">
        <v>908</v>
      </c>
      <c r="G222" s="5">
        <v>2</v>
      </c>
      <c r="H222" s="5">
        <v>598</v>
      </c>
      <c r="I222" s="5" t="s">
        <v>952</v>
      </c>
      <c r="J222" s="5" t="str">
        <f t="shared" si="3"/>
        <v>RETAIL</v>
      </c>
    </row>
    <row r="223" spans="1:10" x14ac:dyDescent="0.25">
      <c r="A223" s="5">
        <v>5222</v>
      </c>
      <c r="B223" s="6">
        <v>45788</v>
      </c>
      <c r="C223" s="5" t="s">
        <v>225</v>
      </c>
      <c r="D223" s="5" t="s">
        <v>1538</v>
      </c>
      <c r="E223" s="5">
        <v>2</v>
      </c>
      <c r="F223" s="5" t="s">
        <v>909</v>
      </c>
      <c r="G223" s="5">
        <v>1</v>
      </c>
      <c r="H223" s="5">
        <v>220</v>
      </c>
      <c r="I223" s="5" t="s">
        <v>953</v>
      </c>
      <c r="J223" s="5" t="str">
        <f t="shared" si="3"/>
        <v>RETAIL</v>
      </c>
    </row>
    <row r="224" spans="1:10" x14ac:dyDescent="0.25">
      <c r="A224" s="5">
        <v>5223</v>
      </c>
      <c r="B224" s="6">
        <v>45789</v>
      </c>
      <c r="C224" s="5" t="s">
        <v>226</v>
      </c>
      <c r="D224" s="5" t="s">
        <v>1538</v>
      </c>
      <c r="E224" s="5">
        <v>2</v>
      </c>
      <c r="F224" s="5" t="s">
        <v>909</v>
      </c>
      <c r="G224" s="5">
        <v>1</v>
      </c>
      <c r="H224" s="5">
        <v>220</v>
      </c>
      <c r="I224" s="5" t="s">
        <v>953</v>
      </c>
      <c r="J224" s="5" t="str">
        <f t="shared" si="3"/>
        <v>RETAIL</v>
      </c>
    </row>
    <row r="225" spans="1:10" x14ac:dyDescent="0.25">
      <c r="A225" s="5">
        <v>5224</v>
      </c>
      <c r="B225" s="6">
        <v>45789</v>
      </c>
      <c r="C225" s="5" t="s">
        <v>227</v>
      </c>
      <c r="D225" s="5" t="s">
        <v>1538</v>
      </c>
      <c r="E225" s="5">
        <v>2</v>
      </c>
      <c r="F225" s="5" t="s">
        <v>910</v>
      </c>
      <c r="G225" s="5">
        <v>1</v>
      </c>
      <c r="H225" s="5">
        <v>338</v>
      </c>
      <c r="I225" s="5" t="s">
        <v>953</v>
      </c>
      <c r="J225" s="5" t="str">
        <f t="shared" si="3"/>
        <v>RETAIL</v>
      </c>
    </row>
    <row r="226" spans="1:10" x14ac:dyDescent="0.25">
      <c r="A226" s="5">
        <v>5225</v>
      </c>
      <c r="B226" s="6">
        <v>45789</v>
      </c>
      <c r="C226" s="5" t="s">
        <v>228</v>
      </c>
      <c r="D226" s="5" t="s">
        <v>1538</v>
      </c>
      <c r="E226" s="5">
        <v>5</v>
      </c>
      <c r="F226" s="5" t="s">
        <v>911</v>
      </c>
      <c r="G226" s="5">
        <v>22</v>
      </c>
      <c r="H226" s="5">
        <v>10032</v>
      </c>
      <c r="I226" s="5" t="s">
        <v>953</v>
      </c>
      <c r="J226" s="5" t="str">
        <f t="shared" si="3"/>
        <v>BULK/HOSPITALS</v>
      </c>
    </row>
    <row r="227" spans="1:10" x14ac:dyDescent="0.25">
      <c r="A227" s="5">
        <v>5226</v>
      </c>
      <c r="B227" s="6">
        <v>45789</v>
      </c>
      <c r="C227" s="5" t="s">
        <v>229</v>
      </c>
      <c r="D227" s="5" t="s">
        <v>1538</v>
      </c>
      <c r="E227" s="5">
        <v>2</v>
      </c>
      <c r="F227" s="5" t="s">
        <v>912</v>
      </c>
      <c r="G227" s="5">
        <v>1</v>
      </c>
      <c r="H227" s="5">
        <v>252</v>
      </c>
      <c r="I227" s="5" t="s">
        <v>869</v>
      </c>
      <c r="J227" s="5" t="str">
        <f t="shared" si="3"/>
        <v>RETAIL</v>
      </c>
    </row>
    <row r="228" spans="1:10" x14ac:dyDescent="0.25">
      <c r="A228" s="5">
        <v>5227</v>
      </c>
      <c r="B228" s="6">
        <v>45790</v>
      </c>
      <c r="C228" s="5" t="s">
        <v>230</v>
      </c>
      <c r="D228" s="5" t="s">
        <v>1538</v>
      </c>
      <c r="E228" s="5">
        <v>2</v>
      </c>
      <c r="F228" s="5" t="s">
        <v>913</v>
      </c>
      <c r="G228" s="5">
        <v>6</v>
      </c>
      <c r="H228" s="5">
        <v>1680</v>
      </c>
      <c r="I228" s="5" t="s">
        <v>953</v>
      </c>
      <c r="J228" s="5" t="str">
        <f t="shared" si="3"/>
        <v>REGULAR</v>
      </c>
    </row>
    <row r="229" spans="1:10" x14ac:dyDescent="0.25">
      <c r="A229" s="5">
        <v>5228</v>
      </c>
      <c r="B229" s="6">
        <v>45790</v>
      </c>
      <c r="C229" s="5" t="s">
        <v>231</v>
      </c>
      <c r="D229" s="5" t="s">
        <v>1538</v>
      </c>
      <c r="E229" s="5">
        <v>2</v>
      </c>
      <c r="F229" s="5" t="s">
        <v>914</v>
      </c>
      <c r="G229" s="5">
        <v>2</v>
      </c>
      <c r="H229" s="5">
        <v>378</v>
      </c>
      <c r="I229" s="5" t="s">
        <v>869</v>
      </c>
      <c r="J229" s="5" t="str">
        <f t="shared" si="3"/>
        <v>RETAIL</v>
      </c>
    </row>
    <row r="230" spans="1:10" x14ac:dyDescent="0.25">
      <c r="A230" s="5">
        <v>5229</v>
      </c>
      <c r="B230" s="6">
        <v>45790</v>
      </c>
      <c r="C230" s="5" t="s">
        <v>232</v>
      </c>
      <c r="D230" s="5" t="s">
        <v>1538</v>
      </c>
      <c r="E230" s="5">
        <v>2</v>
      </c>
      <c r="F230" s="5" t="s">
        <v>915</v>
      </c>
      <c r="G230" s="5">
        <v>1</v>
      </c>
      <c r="H230" s="5">
        <v>54.45</v>
      </c>
      <c r="I230" s="5" t="s">
        <v>954</v>
      </c>
      <c r="J230" s="5" t="str">
        <f t="shared" si="3"/>
        <v>RETAIL</v>
      </c>
    </row>
    <row r="231" spans="1:10" x14ac:dyDescent="0.25">
      <c r="A231" s="5">
        <v>5230</v>
      </c>
      <c r="B231" s="6">
        <v>45790</v>
      </c>
      <c r="C231" s="5" t="s">
        <v>233</v>
      </c>
      <c r="D231" s="5" t="s">
        <v>1535</v>
      </c>
      <c r="E231" s="5">
        <v>2</v>
      </c>
      <c r="F231" s="5" t="s">
        <v>916</v>
      </c>
      <c r="G231" s="5">
        <v>1</v>
      </c>
      <c r="H231" s="5">
        <v>208.88</v>
      </c>
      <c r="I231" s="5" t="s">
        <v>955</v>
      </c>
      <c r="J231" s="5" t="str">
        <f t="shared" si="3"/>
        <v>RETAIL</v>
      </c>
    </row>
    <row r="232" spans="1:10" x14ac:dyDescent="0.25">
      <c r="A232" s="5">
        <v>5231</v>
      </c>
      <c r="B232" s="6">
        <v>45790</v>
      </c>
      <c r="C232" s="5" t="s">
        <v>234</v>
      </c>
      <c r="D232" s="5" t="s">
        <v>1538</v>
      </c>
      <c r="E232" s="5">
        <v>5</v>
      </c>
      <c r="F232" s="5" t="s">
        <v>917</v>
      </c>
      <c r="G232" s="5">
        <v>10</v>
      </c>
      <c r="H232" s="5">
        <v>283.10000000000002</v>
      </c>
      <c r="I232" s="5" t="s">
        <v>956</v>
      </c>
      <c r="J232" s="5" t="str">
        <f t="shared" si="3"/>
        <v>REGULAR</v>
      </c>
    </row>
    <row r="233" spans="1:10" x14ac:dyDescent="0.25">
      <c r="A233" s="5">
        <v>5232</v>
      </c>
      <c r="B233" s="6">
        <v>45791</v>
      </c>
      <c r="C233" s="5" t="s">
        <v>235</v>
      </c>
      <c r="D233" s="5" t="s">
        <v>1538</v>
      </c>
      <c r="E233" s="5">
        <v>2</v>
      </c>
      <c r="F233" s="5" t="s">
        <v>918</v>
      </c>
      <c r="G233" s="5">
        <v>1</v>
      </c>
      <c r="H233" s="5">
        <v>260</v>
      </c>
      <c r="I233" s="5" t="s">
        <v>837</v>
      </c>
      <c r="J233" s="5" t="str">
        <f t="shared" si="3"/>
        <v>RETAIL</v>
      </c>
    </row>
    <row r="234" spans="1:10" x14ac:dyDescent="0.25">
      <c r="A234" s="5">
        <v>5233</v>
      </c>
      <c r="B234" s="6">
        <v>45791</v>
      </c>
      <c r="C234" s="5" t="s">
        <v>236</v>
      </c>
      <c r="D234" s="5" t="s">
        <v>1538</v>
      </c>
      <c r="E234" s="5">
        <v>5</v>
      </c>
      <c r="F234" s="5" t="s">
        <v>919</v>
      </c>
      <c r="G234" s="5">
        <v>37</v>
      </c>
      <c r="H234" s="5">
        <v>3019.4</v>
      </c>
      <c r="I234" s="5" t="s">
        <v>957</v>
      </c>
      <c r="J234" s="5" t="str">
        <f t="shared" si="3"/>
        <v>BULK/HOSPITALS</v>
      </c>
    </row>
    <row r="235" spans="1:10" x14ac:dyDescent="0.25">
      <c r="A235" s="5">
        <v>5234</v>
      </c>
      <c r="B235" s="6">
        <v>45791</v>
      </c>
      <c r="C235" s="5" t="s">
        <v>237</v>
      </c>
      <c r="D235" s="5" t="s">
        <v>1538</v>
      </c>
      <c r="E235" s="5">
        <v>2</v>
      </c>
      <c r="F235" s="5" t="s">
        <v>920</v>
      </c>
      <c r="G235" s="5">
        <v>4</v>
      </c>
      <c r="H235" s="5">
        <v>653.96</v>
      </c>
      <c r="I235" s="5" t="s">
        <v>957</v>
      </c>
      <c r="J235" s="5" t="str">
        <f t="shared" si="3"/>
        <v>REGULAR</v>
      </c>
    </row>
    <row r="236" spans="1:10" x14ac:dyDescent="0.25">
      <c r="A236" s="5">
        <v>5235</v>
      </c>
      <c r="B236" s="6">
        <v>45792</v>
      </c>
      <c r="C236" s="5" t="s">
        <v>238</v>
      </c>
      <c r="D236" s="5" t="s">
        <v>1538</v>
      </c>
      <c r="E236" s="5">
        <v>5</v>
      </c>
      <c r="F236" s="5" t="s">
        <v>921</v>
      </c>
      <c r="G236" s="5">
        <v>23</v>
      </c>
      <c r="H236" s="5">
        <v>926.77</v>
      </c>
      <c r="I236" s="5" t="s">
        <v>957</v>
      </c>
      <c r="J236" s="5" t="str">
        <f t="shared" si="3"/>
        <v>BULK/HOSPITALS</v>
      </c>
    </row>
    <row r="237" spans="1:10" x14ac:dyDescent="0.25">
      <c r="A237" s="5">
        <v>5236</v>
      </c>
      <c r="B237" s="6">
        <v>45792</v>
      </c>
      <c r="C237" s="5" t="s">
        <v>239</v>
      </c>
      <c r="D237" s="5" t="s">
        <v>1538</v>
      </c>
      <c r="E237" s="5">
        <v>2</v>
      </c>
      <c r="F237" s="5" t="s">
        <v>922</v>
      </c>
      <c r="G237" s="5">
        <v>1</v>
      </c>
      <c r="H237" s="5">
        <v>267.08999999999997</v>
      </c>
      <c r="I237" s="5" t="s">
        <v>957</v>
      </c>
      <c r="J237" s="5" t="str">
        <f t="shared" si="3"/>
        <v>RETAIL</v>
      </c>
    </row>
    <row r="238" spans="1:10" x14ac:dyDescent="0.25">
      <c r="A238" s="5">
        <v>5237</v>
      </c>
      <c r="B238" s="6">
        <v>45792</v>
      </c>
      <c r="C238" s="5" t="s">
        <v>240</v>
      </c>
      <c r="D238" s="5" t="s">
        <v>1538</v>
      </c>
      <c r="E238" s="5">
        <v>2</v>
      </c>
      <c r="F238" s="5" t="s">
        <v>923</v>
      </c>
      <c r="G238" s="5">
        <v>8</v>
      </c>
      <c r="H238" s="5">
        <v>800</v>
      </c>
      <c r="I238" s="5" t="s">
        <v>958</v>
      </c>
      <c r="J238" s="5" t="str">
        <f t="shared" si="3"/>
        <v>REGULAR</v>
      </c>
    </row>
    <row r="239" spans="1:10" x14ac:dyDescent="0.25">
      <c r="A239" s="5">
        <v>5238</v>
      </c>
      <c r="B239" s="6">
        <v>45792</v>
      </c>
      <c r="C239" s="5" t="s">
        <v>241</v>
      </c>
      <c r="D239" s="5" t="s">
        <v>1538</v>
      </c>
      <c r="E239" s="5">
        <v>2</v>
      </c>
      <c r="F239" s="5" t="s">
        <v>924</v>
      </c>
      <c r="G239" s="5">
        <v>2</v>
      </c>
      <c r="H239" s="5">
        <v>60</v>
      </c>
      <c r="I239" s="5" t="s">
        <v>957</v>
      </c>
      <c r="J239" s="5" t="str">
        <f t="shared" si="3"/>
        <v>RETAIL</v>
      </c>
    </row>
    <row r="240" spans="1:10" x14ac:dyDescent="0.25">
      <c r="A240" s="5">
        <v>5239</v>
      </c>
      <c r="B240" s="6">
        <v>45793</v>
      </c>
      <c r="C240" s="5" t="s">
        <v>242</v>
      </c>
      <c r="D240" s="5" t="s">
        <v>1538</v>
      </c>
      <c r="E240" s="5">
        <v>2</v>
      </c>
      <c r="F240" s="5" t="s">
        <v>925</v>
      </c>
      <c r="G240" s="5">
        <v>4</v>
      </c>
      <c r="H240" s="5">
        <v>396</v>
      </c>
      <c r="I240" s="5" t="s">
        <v>957</v>
      </c>
      <c r="J240" s="5" t="str">
        <f t="shared" si="3"/>
        <v>REGULAR</v>
      </c>
    </row>
    <row r="241" spans="1:10" x14ac:dyDescent="0.25">
      <c r="A241" s="5">
        <v>5240</v>
      </c>
      <c r="B241" s="6">
        <v>45793</v>
      </c>
      <c r="C241" s="5" t="s">
        <v>243</v>
      </c>
      <c r="D241" s="5" t="s">
        <v>1538</v>
      </c>
      <c r="E241" s="5">
        <v>2</v>
      </c>
      <c r="F241" s="5" t="s">
        <v>926</v>
      </c>
      <c r="G241" s="5">
        <v>6</v>
      </c>
      <c r="H241" s="5">
        <v>600</v>
      </c>
      <c r="I241" s="5" t="s">
        <v>957</v>
      </c>
      <c r="J241" s="5" t="str">
        <f t="shared" si="3"/>
        <v>REGULAR</v>
      </c>
    </row>
    <row r="242" spans="1:10" x14ac:dyDescent="0.25">
      <c r="A242" s="5">
        <v>5241</v>
      </c>
      <c r="B242" s="6">
        <v>45793</v>
      </c>
      <c r="C242" s="5" t="s">
        <v>244</v>
      </c>
      <c r="D242" s="5" t="s">
        <v>1535</v>
      </c>
      <c r="E242" s="5">
        <v>2</v>
      </c>
      <c r="F242" s="5" t="s">
        <v>927</v>
      </c>
      <c r="G242" s="5">
        <v>1</v>
      </c>
      <c r="H242" s="5">
        <v>50</v>
      </c>
      <c r="I242" s="5" t="s">
        <v>957</v>
      </c>
      <c r="J242" s="5" t="str">
        <f t="shared" si="3"/>
        <v>RETAIL</v>
      </c>
    </row>
    <row r="243" spans="1:10" x14ac:dyDescent="0.25">
      <c r="A243" s="5">
        <v>5242</v>
      </c>
      <c r="B243" s="6">
        <v>45793</v>
      </c>
      <c r="C243" s="5" t="s">
        <v>245</v>
      </c>
      <c r="D243" s="5" t="s">
        <v>1538</v>
      </c>
      <c r="E243" s="5">
        <v>2</v>
      </c>
      <c r="F243" s="5" t="s">
        <v>928</v>
      </c>
      <c r="G243" s="5">
        <v>3</v>
      </c>
      <c r="H243" s="5">
        <v>234</v>
      </c>
      <c r="I243" s="5" t="s">
        <v>957</v>
      </c>
      <c r="J243" s="5" t="str">
        <f t="shared" si="3"/>
        <v>REGULAR</v>
      </c>
    </row>
    <row r="244" spans="1:10" x14ac:dyDescent="0.25">
      <c r="A244" s="5">
        <v>5243</v>
      </c>
      <c r="B244" s="6">
        <v>45793</v>
      </c>
      <c r="C244" s="5" t="s">
        <v>246</v>
      </c>
      <c r="D244" s="5" t="s">
        <v>1539</v>
      </c>
      <c r="E244" s="5">
        <v>10</v>
      </c>
      <c r="F244" s="5" t="s">
        <v>929</v>
      </c>
      <c r="G244" s="5">
        <v>100</v>
      </c>
      <c r="H244" s="5">
        <v>1600</v>
      </c>
      <c r="I244" s="5" t="s">
        <v>959</v>
      </c>
      <c r="J244" s="5" t="str">
        <f t="shared" si="3"/>
        <v>BULK/HOSPITALS</v>
      </c>
    </row>
    <row r="245" spans="1:10" x14ac:dyDescent="0.25">
      <c r="A245" s="5">
        <v>5244</v>
      </c>
      <c r="B245" s="6">
        <v>45794</v>
      </c>
      <c r="C245" s="5" t="s">
        <v>247</v>
      </c>
      <c r="D245" s="5" t="s">
        <v>1538</v>
      </c>
      <c r="E245" s="5">
        <v>2</v>
      </c>
      <c r="F245" s="5" t="s">
        <v>930</v>
      </c>
      <c r="G245" s="5">
        <v>3</v>
      </c>
      <c r="H245" s="5">
        <v>296.7</v>
      </c>
      <c r="I245" s="5" t="s">
        <v>960</v>
      </c>
      <c r="J245" s="5" t="str">
        <f t="shared" si="3"/>
        <v>REGULAR</v>
      </c>
    </row>
    <row r="246" spans="1:10" x14ac:dyDescent="0.25">
      <c r="A246" s="5">
        <v>5245</v>
      </c>
      <c r="B246" s="6">
        <v>45794</v>
      </c>
      <c r="C246" s="5" t="s">
        <v>248</v>
      </c>
      <c r="D246" s="5" t="s">
        <v>1538</v>
      </c>
      <c r="E246" s="5">
        <v>5</v>
      </c>
      <c r="F246" s="5" t="s">
        <v>931</v>
      </c>
      <c r="G246" s="5">
        <v>13</v>
      </c>
      <c r="H246" s="5">
        <v>148.19999999999999</v>
      </c>
      <c r="I246" s="5" t="s">
        <v>961</v>
      </c>
      <c r="J246" s="5" t="str">
        <f t="shared" si="3"/>
        <v>REGULAR</v>
      </c>
    </row>
    <row r="247" spans="1:10" x14ac:dyDescent="0.25">
      <c r="A247" s="5">
        <v>5246</v>
      </c>
      <c r="B247" s="6">
        <v>45794</v>
      </c>
      <c r="C247" s="5" t="s">
        <v>249</v>
      </c>
      <c r="D247" s="5" t="s">
        <v>1535</v>
      </c>
      <c r="E247" s="5">
        <v>5</v>
      </c>
      <c r="F247" s="5" t="s">
        <v>932</v>
      </c>
      <c r="G247" s="5">
        <v>27</v>
      </c>
      <c r="H247" s="5">
        <v>6033.78</v>
      </c>
      <c r="I247" s="5" t="s">
        <v>962</v>
      </c>
      <c r="J247" s="5" t="str">
        <f t="shared" si="3"/>
        <v>BULK/HOSPITALS</v>
      </c>
    </row>
    <row r="248" spans="1:10" x14ac:dyDescent="0.25">
      <c r="A248" s="5">
        <v>5247</v>
      </c>
      <c r="B248" s="6">
        <v>45795</v>
      </c>
      <c r="C248" s="5" t="s">
        <v>250</v>
      </c>
      <c r="D248" s="5" t="s">
        <v>1539</v>
      </c>
      <c r="E248" s="5">
        <v>2</v>
      </c>
      <c r="F248" s="5" t="s">
        <v>933</v>
      </c>
      <c r="G248" s="5">
        <v>6</v>
      </c>
      <c r="H248" s="5">
        <v>1390.3</v>
      </c>
      <c r="I248" s="5" t="s">
        <v>963</v>
      </c>
      <c r="J248" s="5" t="str">
        <f t="shared" si="3"/>
        <v>REGULAR</v>
      </c>
    </row>
    <row r="249" spans="1:10" x14ac:dyDescent="0.25">
      <c r="A249" s="5">
        <v>5248</v>
      </c>
      <c r="B249" s="6">
        <v>45795</v>
      </c>
      <c r="C249" s="5" t="s">
        <v>251</v>
      </c>
      <c r="D249" s="5" t="s">
        <v>1535</v>
      </c>
      <c r="E249" s="5">
        <v>10</v>
      </c>
      <c r="F249" s="5" t="s">
        <v>934</v>
      </c>
      <c r="G249" s="5">
        <v>180</v>
      </c>
      <c r="H249" s="5">
        <v>4084.92</v>
      </c>
      <c r="I249" s="5" t="s">
        <v>885</v>
      </c>
      <c r="J249" s="5" t="str">
        <f t="shared" si="3"/>
        <v>BULK/HOSPITALS</v>
      </c>
    </row>
    <row r="250" spans="1:10" x14ac:dyDescent="0.25">
      <c r="A250" s="5">
        <v>5249</v>
      </c>
      <c r="B250" s="6">
        <v>45795</v>
      </c>
      <c r="C250" s="5" t="s">
        <v>252</v>
      </c>
      <c r="D250" s="5" t="s">
        <v>1538</v>
      </c>
      <c r="E250" s="5">
        <v>2</v>
      </c>
      <c r="F250" s="5" t="s">
        <v>935</v>
      </c>
      <c r="G250" s="5">
        <v>2</v>
      </c>
      <c r="H250" s="5">
        <v>11.3</v>
      </c>
      <c r="I250" s="5" t="s">
        <v>835</v>
      </c>
      <c r="J250" s="5" t="str">
        <f t="shared" si="3"/>
        <v>RETAIL</v>
      </c>
    </row>
    <row r="251" spans="1:10" x14ac:dyDescent="0.25">
      <c r="A251" s="5">
        <v>5250</v>
      </c>
      <c r="B251" s="6">
        <v>45795</v>
      </c>
      <c r="C251" s="5" t="s">
        <v>253</v>
      </c>
      <c r="D251" s="5" t="s">
        <v>1538</v>
      </c>
      <c r="E251" s="5">
        <v>7</v>
      </c>
      <c r="F251" s="5" t="s">
        <v>936</v>
      </c>
      <c r="G251" s="5">
        <v>50</v>
      </c>
      <c r="H251" s="5">
        <v>97.35</v>
      </c>
      <c r="I251" s="5" t="s">
        <v>964</v>
      </c>
      <c r="J251" s="5" t="str">
        <f t="shared" si="3"/>
        <v>BULK/HOSPITALS</v>
      </c>
    </row>
    <row r="252" spans="1:10" x14ac:dyDescent="0.25">
      <c r="A252" s="5">
        <v>5251</v>
      </c>
      <c r="B252" s="6">
        <v>45796</v>
      </c>
      <c r="C252" s="5" t="s">
        <v>254</v>
      </c>
      <c r="D252" s="5" t="s">
        <v>1538</v>
      </c>
      <c r="E252" s="5">
        <v>2</v>
      </c>
      <c r="F252" s="5" t="s">
        <v>937</v>
      </c>
      <c r="G252" s="5">
        <v>1</v>
      </c>
      <c r="H252" s="5">
        <v>349</v>
      </c>
      <c r="I252" s="5" t="s">
        <v>965</v>
      </c>
      <c r="J252" s="5" t="str">
        <f t="shared" si="3"/>
        <v>RETAIL</v>
      </c>
    </row>
    <row r="253" spans="1:10" x14ac:dyDescent="0.25">
      <c r="A253" s="5">
        <v>5252</v>
      </c>
      <c r="B253" s="6">
        <v>45796</v>
      </c>
      <c r="C253" s="5" t="s">
        <v>255</v>
      </c>
      <c r="D253" s="5" t="s">
        <v>1538</v>
      </c>
      <c r="E253" s="5">
        <v>2</v>
      </c>
      <c r="F253" s="5" t="s">
        <v>938</v>
      </c>
      <c r="G253" s="5">
        <v>2</v>
      </c>
      <c r="H253" s="5">
        <v>230</v>
      </c>
      <c r="I253" s="5" t="s">
        <v>966</v>
      </c>
      <c r="J253" s="5" t="str">
        <f t="shared" si="3"/>
        <v>RETAIL</v>
      </c>
    </row>
    <row r="254" spans="1:10" x14ac:dyDescent="0.25">
      <c r="A254" s="5">
        <v>5253</v>
      </c>
      <c r="B254" s="6">
        <v>45796</v>
      </c>
      <c r="C254" s="5" t="s">
        <v>256</v>
      </c>
      <c r="D254" s="5" t="s">
        <v>1538</v>
      </c>
      <c r="E254" s="5">
        <v>2</v>
      </c>
      <c r="F254" s="5" t="s">
        <v>939</v>
      </c>
      <c r="G254" s="5">
        <v>5</v>
      </c>
      <c r="H254" s="5">
        <v>20</v>
      </c>
      <c r="I254" s="5" t="s">
        <v>967</v>
      </c>
      <c r="J254" s="5" t="str">
        <f t="shared" si="3"/>
        <v>REGULAR</v>
      </c>
    </row>
    <row r="255" spans="1:10" x14ac:dyDescent="0.25">
      <c r="A255" s="5">
        <v>5254</v>
      </c>
      <c r="B255" s="6">
        <v>45796</v>
      </c>
      <c r="C255" s="5" t="s">
        <v>257</v>
      </c>
      <c r="D255" s="5" t="s">
        <v>1538</v>
      </c>
      <c r="E255" s="5">
        <v>2</v>
      </c>
      <c r="F255" s="5" t="s">
        <v>940</v>
      </c>
      <c r="G255" s="5">
        <v>3</v>
      </c>
      <c r="H255" s="5">
        <v>7.2</v>
      </c>
      <c r="I255" s="5" t="s">
        <v>967</v>
      </c>
      <c r="J255" s="5" t="str">
        <f t="shared" si="3"/>
        <v>REGULAR</v>
      </c>
    </row>
    <row r="256" spans="1:10" x14ac:dyDescent="0.25">
      <c r="A256" s="5">
        <v>5255</v>
      </c>
      <c r="B256" s="6">
        <v>45796</v>
      </c>
      <c r="C256" s="5" t="s">
        <v>258</v>
      </c>
      <c r="D256" s="5" t="s">
        <v>1538</v>
      </c>
      <c r="E256" s="5">
        <v>7</v>
      </c>
      <c r="F256" s="5" t="s">
        <v>941</v>
      </c>
      <c r="G256" s="5">
        <v>56</v>
      </c>
      <c r="H256" s="5">
        <v>460.6</v>
      </c>
      <c r="I256" s="5" t="s">
        <v>967</v>
      </c>
      <c r="J256" s="5" t="str">
        <f t="shared" si="3"/>
        <v>BULK/HOSPITALS</v>
      </c>
    </row>
    <row r="257" spans="1:10" x14ac:dyDescent="0.25">
      <c r="A257" s="5">
        <v>5256</v>
      </c>
      <c r="B257" s="6">
        <v>45797</v>
      </c>
      <c r="C257" s="5" t="s">
        <v>259</v>
      </c>
      <c r="D257" s="5" t="s">
        <v>1538</v>
      </c>
      <c r="E257" s="5">
        <v>2</v>
      </c>
      <c r="F257" s="5" t="s">
        <v>942</v>
      </c>
      <c r="G257" s="5">
        <v>5</v>
      </c>
      <c r="H257" s="5">
        <v>105</v>
      </c>
      <c r="I257" s="5" t="s">
        <v>967</v>
      </c>
      <c r="J257" s="5" t="str">
        <f t="shared" si="3"/>
        <v>REGULAR</v>
      </c>
    </row>
    <row r="258" spans="1:10" x14ac:dyDescent="0.25">
      <c r="A258" s="5">
        <v>5257</v>
      </c>
      <c r="B258" s="6">
        <v>45797</v>
      </c>
      <c r="C258" s="5" t="s">
        <v>260</v>
      </c>
      <c r="D258" s="5" t="s">
        <v>1535</v>
      </c>
      <c r="E258" s="5">
        <v>2</v>
      </c>
      <c r="F258" s="5" t="s">
        <v>943</v>
      </c>
      <c r="G258" s="5">
        <v>5</v>
      </c>
      <c r="H258" s="5">
        <v>44</v>
      </c>
      <c r="I258" s="5" t="s">
        <v>967</v>
      </c>
      <c r="J258" s="5" t="str">
        <f t="shared" si="3"/>
        <v>REGULAR</v>
      </c>
    </row>
    <row r="259" spans="1:10" x14ac:dyDescent="0.25">
      <c r="A259" s="5">
        <v>5258</v>
      </c>
      <c r="B259" s="6">
        <v>45797</v>
      </c>
      <c r="C259" s="5" t="s">
        <v>261</v>
      </c>
      <c r="D259" s="5" t="s">
        <v>1535</v>
      </c>
      <c r="E259" s="5">
        <v>2</v>
      </c>
      <c r="F259" s="5" t="s">
        <v>944</v>
      </c>
      <c r="G259" s="5">
        <v>1</v>
      </c>
      <c r="H259" s="5">
        <v>61</v>
      </c>
      <c r="I259" s="5" t="s">
        <v>967</v>
      </c>
      <c r="J259" s="5" t="str">
        <f t="shared" ref="J259:J322" si="4">IF(G259&lt;=2,"RETAIL",IF(G259&lt;=20,"REGULAR",IF(G259&gt;20,"BULK/HOSPITALS")))</f>
        <v>RETAIL</v>
      </c>
    </row>
    <row r="260" spans="1:10" x14ac:dyDescent="0.25">
      <c r="A260" s="5">
        <v>5259</v>
      </c>
      <c r="B260" s="6">
        <v>45798</v>
      </c>
      <c r="C260" s="5" t="s">
        <v>262</v>
      </c>
      <c r="D260" s="5" t="s">
        <v>1535</v>
      </c>
      <c r="E260" s="5">
        <v>10</v>
      </c>
      <c r="F260" s="5" t="s">
        <v>997</v>
      </c>
      <c r="G260" s="5">
        <v>710</v>
      </c>
      <c r="H260" s="5">
        <v>1607.32</v>
      </c>
      <c r="I260" s="5" t="s">
        <v>968</v>
      </c>
      <c r="J260" s="5" t="str">
        <f t="shared" si="4"/>
        <v>BULK/HOSPITALS</v>
      </c>
    </row>
    <row r="261" spans="1:10" x14ac:dyDescent="0.25">
      <c r="A261" s="5">
        <v>5260</v>
      </c>
      <c r="B261" s="6">
        <v>45798</v>
      </c>
      <c r="C261" s="5" t="s">
        <v>263</v>
      </c>
      <c r="D261" s="5" t="s">
        <v>1535</v>
      </c>
      <c r="E261" s="5">
        <v>5</v>
      </c>
      <c r="F261" s="5" t="s">
        <v>998</v>
      </c>
      <c r="G261" s="5">
        <v>10</v>
      </c>
      <c r="H261" s="5">
        <v>41.5</v>
      </c>
      <c r="I261" s="5" t="s">
        <v>968</v>
      </c>
      <c r="J261" s="5" t="str">
        <f t="shared" si="4"/>
        <v>REGULAR</v>
      </c>
    </row>
    <row r="262" spans="1:10" x14ac:dyDescent="0.25">
      <c r="A262" s="5">
        <v>5261</v>
      </c>
      <c r="B262" s="6">
        <v>45798</v>
      </c>
      <c r="C262" s="5" t="s">
        <v>264</v>
      </c>
      <c r="D262" s="5" t="s">
        <v>1538</v>
      </c>
      <c r="E262" s="5">
        <v>5</v>
      </c>
      <c r="F262" s="5" t="s">
        <v>999</v>
      </c>
      <c r="G262" s="5">
        <v>12</v>
      </c>
      <c r="H262" s="5">
        <v>1369.38</v>
      </c>
      <c r="I262" s="5" t="s">
        <v>872</v>
      </c>
      <c r="J262" s="5" t="str">
        <f t="shared" si="4"/>
        <v>REGULAR</v>
      </c>
    </row>
    <row r="263" spans="1:10" x14ac:dyDescent="0.25">
      <c r="A263" s="5">
        <v>5262</v>
      </c>
      <c r="B263" s="6">
        <v>45798</v>
      </c>
      <c r="C263" s="5" t="s">
        <v>265</v>
      </c>
      <c r="D263" s="5" t="s">
        <v>1538</v>
      </c>
      <c r="E263" s="5">
        <v>2</v>
      </c>
      <c r="F263" s="5" t="s">
        <v>1000</v>
      </c>
      <c r="G263" s="5">
        <v>1</v>
      </c>
      <c r="H263" s="5">
        <v>119.75</v>
      </c>
      <c r="I263" s="5" t="s">
        <v>969</v>
      </c>
      <c r="J263" s="5" t="str">
        <f t="shared" si="4"/>
        <v>RETAIL</v>
      </c>
    </row>
    <row r="264" spans="1:10" x14ac:dyDescent="0.25">
      <c r="A264" s="5">
        <v>5263</v>
      </c>
      <c r="B264" s="6">
        <v>45799</v>
      </c>
      <c r="C264" s="5" t="s">
        <v>266</v>
      </c>
      <c r="D264" s="5" t="s">
        <v>1535</v>
      </c>
      <c r="E264" s="5">
        <v>5</v>
      </c>
      <c r="F264" s="5" t="s">
        <v>735</v>
      </c>
      <c r="G264" s="5">
        <v>20</v>
      </c>
      <c r="H264" s="5">
        <v>45.02</v>
      </c>
      <c r="I264" s="5" t="s">
        <v>970</v>
      </c>
      <c r="J264" s="5" t="str">
        <f t="shared" si="4"/>
        <v>REGULAR</v>
      </c>
    </row>
    <row r="265" spans="1:10" x14ac:dyDescent="0.25">
      <c r="A265" s="5">
        <v>5264</v>
      </c>
      <c r="B265" s="6">
        <v>45799</v>
      </c>
      <c r="C265" s="5" t="s">
        <v>267</v>
      </c>
      <c r="D265" s="5" t="s">
        <v>1535</v>
      </c>
      <c r="E265" s="5">
        <v>5</v>
      </c>
      <c r="F265" s="5" t="s">
        <v>1001</v>
      </c>
      <c r="G265" s="5">
        <v>15</v>
      </c>
      <c r="H265" s="5">
        <v>63</v>
      </c>
      <c r="I265" s="5" t="s">
        <v>970</v>
      </c>
      <c r="J265" s="5" t="str">
        <f t="shared" si="4"/>
        <v>REGULAR</v>
      </c>
    </row>
    <row r="266" spans="1:10" x14ac:dyDescent="0.25">
      <c r="A266" s="5">
        <v>5265</v>
      </c>
      <c r="B266" s="6">
        <v>45799</v>
      </c>
      <c r="C266" s="5" t="s">
        <v>268</v>
      </c>
      <c r="D266" s="5" t="s">
        <v>1535</v>
      </c>
      <c r="E266" s="5">
        <v>5</v>
      </c>
      <c r="F266" s="5" t="s">
        <v>1002</v>
      </c>
      <c r="G266" s="5">
        <v>10</v>
      </c>
      <c r="H266" s="5">
        <v>89</v>
      </c>
      <c r="I266" s="5" t="s">
        <v>968</v>
      </c>
      <c r="J266" s="5" t="str">
        <f t="shared" si="4"/>
        <v>REGULAR</v>
      </c>
    </row>
    <row r="267" spans="1:10" x14ac:dyDescent="0.25">
      <c r="A267" s="5">
        <v>5266</v>
      </c>
      <c r="B267" s="6">
        <v>45799</v>
      </c>
      <c r="C267" s="5" t="s">
        <v>269</v>
      </c>
      <c r="D267" s="5" t="s">
        <v>1535</v>
      </c>
      <c r="E267" s="5">
        <v>5</v>
      </c>
      <c r="F267" s="5" t="s">
        <v>1003</v>
      </c>
      <c r="G267" s="5">
        <v>15</v>
      </c>
      <c r="H267" s="5">
        <v>243</v>
      </c>
      <c r="I267" s="5" t="s">
        <v>968</v>
      </c>
      <c r="J267" s="5" t="str">
        <f t="shared" si="4"/>
        <v>REGULAR</v>
      </c>
    </row>
    <row r="268" spans="1:10" x14ac:dyDescent="0.25">
      <c r="A268" s="5">
        <v>5267</v>
      </c>
      <c r="B268" s="6">
        <v>45799</v>
      </c>
      <c r="C268" s="5" t="s">
        <v>270</v>
      </c>
      <c r="D268" s="5" t="s">
        <v>1535</v>
      </c>
      <c r="E268" s="5">
        <v>10</v>
      </c>
      <c r="F268" s="5" t="s">
        <v>1004</v>
      </c>
      <c r="G268" s="5">
        <v>240</v>
      </c>
      <c r="H268" s="5">
        <v>2232</v>
      </c>
      <c r="I268" s="5" t="s">
        <v>971</v>
      </c>
      <c r="J268" s="5" t="str">
        <f t="shared" si="4"/>
        <v>BULK/HOSPITALS</v>
      </c>
    </row>
    <row r="269" spans="1:10" x14ac:dyDescent="0.25">
      <c r="A269" s="5">
        <v>5268</v>
      </c>
      <c r="B269" s="6">
        <v>45800</v>
      </c>
      <c r="C269" s="5" t="s">
        <v>271</v>
      </c>
      <c r="D269" s="5" t="s">
        <v>1538</v>
      </c>
      <c r="E269" s="5">
        <v>2</v>
      </c>
      <c r="F269" s="5" t="s">
        <v>1005</v>
      </c>
      <c r="G269" s="5">
        <v>1</v>
      </c>
      <c r="H269" s="5">
        <v>285</v>
      </c>
      <c r="I269" s="5" t="s">
        <v>870</v>
      </c>
      <c r="J269" s="5" t="str">
        <f t="shared" si="4"/>
        <v>RETAIL</v>
      </c>
    </row>
    <row r="270" spans="1:10" x14ac:dyDescent="0.25">
      <c r="A270" s="5">
        <v>5269</v>
      </c>
      <c r="B270" s="6">
        <v>45800</v>
      </c>
      <c r="C270" s="5" t="s">
        <v>272</v>
      </c>
      <c r="D270" s="5" t="s">
        <v>1538</v>
      </c>
      <c r="E270" s="5">
        <v>5</v>
      </c>
      <c r="F270" s="5" t="s">
        <v>1006</v>
      </c>
      <c r="G270" s="5">
        <v>10</v>
      </c>
      <c r="H270" s="5">
        <v>750</v>
      </c>
      <c r="I270" s="5" t="s">
        <v>870</v>
      </c>
      <c r="J270" s="5" t="str">
        <f t="shared" si="4"/>
        <v>REGULAR</v>
      </c>
    </row>
    <row r="271" spans="1:10" x14ac:dyDescent="0.25">
      <c r="A271" s="5">
        <v>5270</v>
      </c>
      <c r="B271" s="6">
        <v>45800</v>
      </c>
      <c r="C271" s="5" t="s">
        <v>273</v>
      </c>
      <c r="D271" s="5" t="s">
        <v>1538</v>
      </c>
      <c r="E271" s="5">
        <v>5</v>
      </c>
      <c r="F271" s="5" t="s">
        <v>1007</v>
      </c>
      <c r="G271" s="5">
        <v>24</v>
      </c>
      <c r="H271" s="5">
        <v>11490</v>
      </c>
      <c r="I271" s="5" t="s">
        <v>972</v>
      </c>
      <c r="J271" s="5" t="str">
        <f t="shared" si="4"/>
        <v>BULK/HOSPITALS</v>
      </c>
    </row>
    <row r="272" spans="1:10" x14ac:dyDescent="0.25">
      <c r="A272" s="5">
        <v>5271</v>
      </c>
      <c r="B272" s="6">
        <v>45801</v>
      </c>
      <c r="C272" s="5" t="s">
        <v>274</v>
      </c>
      <c r="D272" s="5" t="s">
        <v>1538</v>
      </c>
      <c r="E272" s="5">
        <v>2</v>
      </c>
      <c r="F272" s="5" t="s">
        <v>1008</v>
      </c>
      <c r="G272" s="5">
        <v>1</v>
      </c>
      <c r="H272" s="5">
        <v>224</v>
      </c>
      <c r="I272" s="5" t="s">
        <v>870</v>
      </c>
      <c r="J272" s="5" t="str">
        <f t="shared" si="4"/>
        <v>RETAIL</v>
      </c>
    </row>
    <row r="273" spans="1:10" x14ac:dyDescent="0.25">
      <c r="A273" s="5">
        <v>5272</v>
      </c>
      <c r="B273" s="6">
        <v>45801</v>
      </c>
      <c r="C273" s="5" t="s">
        <v>275</v>
      </c>
      <c r="D273" s="5" t="s">
        <v>1538</v>
      </c>
      <c r="E273" s="5">
        <v>2</v>
      </c>
      <c r="F273" s="5" t="s">
        <v>1008</v>
      </c>
      <c r="G273" s="5">
        <v>3</v>
      </c>
      <c r="H273" s="5">
        <v>672</v>
      </c>
      <c r="I273" s="5" t="s">
        <v>972</v>
      </c>
      <c r="J273" s="5" t="str">
        <f t="shared" si="4"/>
        <v>REGULAR</v>
      </c>
    </row>
    <row r="274" spans="1:10" x14ac:dyDescent="0.25">
      <c r="A274" s="5">
        <v>5273</v>
      </c>
      <c r="B274" s="6">
        <v>45801</v>
      </c>
      <c r="C274" s="5" t="s">
        <v>276</v>
      </c>
      <c r="D274" s="5" t="s">
        <v>1538</v>
      </c>
      <c r="E274" s="5">
        <v>2</v>
      </c>
      <c r="F274" s="5" t="s">
        <v>1009</v>
      </c>
      <c r="G274" s="5">
        <v>2</v>
      </c>
      <c r="H274" s="5">
        <v>492</v>
      </c>
      <c r="I274" s="5" t="s">
        <v>870</v>
      </c>
      <c r="J274" s="5" t="str">
        <f t="shared" si="4"/>
        <v>RETAIL</v>
      </c>
    </row>
    <row r="275" spans="1:10" x14ac:dyDescent="0.25">
      <c r="A275" s="5">
        <v>5274</v>
      </c>
      <c r="B275" s="6">
        <v>45801</v>
      </c>
      <c r="C275" s="5" t="s">
        <v>277</v>
      </c>
      <c r="D275" s="5" t="s">
        <v>1538</v>
      </c>
      <c r="E275" s="5">
        <v>2</v>
      </c>
      <c r="F275" s="5" t="s">
        <v>1010</v>
      </c>
      <c r="G275" s="5">
        <v>1</v>
      </c>
      <c r="H275" s="5">
        <v>355</v>
      </c>
      <c r="I275" s="5" t="s">
        <v>870</v>
      </c>
      <c r="J275" s="5" t="str">
        <f t="shared" si="4"/>
        <v>RETAIL</v>
      </c>
    </row>
    <row r="276" spans="1:10" x14ac:dyDescent="0.25">
      <c r="A276" s="5">
        <v>5275</v>
      </c>
      <c r="B276" s="6">
        <v>45802</v>
      </c>
      <c r="C276" s="5" t="s">
        <v>278</v>
      </c>
      <c r="D276" s="5" t="s">
        <v>1538</v>
      </c>
      <c r="E276" s="5">
        <v>2</v>
      </c>
      <c r="F276" s="5" t="s">
        <v>1011</v>
      </c>
      <c r="G276" s="5">
        <v>4</v>
      </c>
      <c r="H276" s="5">
        <v>264</v>
      </c>
      <c r="I276" s="5" t="s">
        <v>870</v>
      </c>
      <c r="J276" s="5" t="str">
        <f t="shared" si="4"/>
        <v>REGULAR</v>
      </c>
    </row>
    <row r="277" spans="1:10" x14ac:dyDescent="0.25">
      <c r="A277" s="5">
        <v>5276</v>
      </c>
      <c r="B277" s="6">
        <v>45802</v>
      </c>
      <c r="C277" s="5" t="s">
        <v>279</v>
      </c>
      <c r="D277" s="5" t="s">
        <v>1538</v>
      </c>
      <c r="E277" s="5">
        <v>10</v>
      </c>
      <c r="F277" s="5" t="s">
        <v>1012</v>
      </c>
      <c r="G277" s="5">
        <v>100</v>
      </c>
      <c r="H277" s="5">
        <v>1150</v>
      </c>
      <c r="I277" s="5" t="s">
        <v>973</v>
      </c>
      <c r="J277" s="5" t="str">
        <f t="shared" si="4"/>
        <v>BULK/HOSPITALS</v>
      </c>
    </row>
    <row r="278" spans="1:10" x14ac:dyDescent="0.25">
      <c r="A278" s="5">
        <v>5277</v>
      </c>
      <c r="B278" s="6">
        <v>45802</v>
      </c>
      <c r="C278" s="5" t="s">
        <v>280</v>
      </c>
      <c r="D278" s="5" t="s">
        <v>1538</v>
      </c>
      <c r="E278" s="5">
        <v>7</v>
      </c>
      <c r="F278" s="5" t="s">
        <v>1013</v>
      </c>
      <c r="G278" s="5">
        <v>80</v>
      </c>
      <c r="H278" s="5">
        <v>640</v>
      </c>
      <c r="I278" s="5" t="s">
        <v>974</v>
      </c>
      <c r="J278" s="5" t="str">
        <f t="shared" si="4"/>
        <v>BULK/HOSPITALS</v>
      </c>
    </row>
    <row r="279" spans="1:10" x14ac:dyDescent="0.25">
      <c r="A279" s="5">
        <v>5278</v>
      </c>
      <c r="B279" s="6">
        <v>45802</v>
      </c>
      <c r="C279" s="5" t="s">
        <v>281</v>
      </c>
      <c r="D279" s="5" t="s">
        <v>1538</v>
      </c>
      <c r="E279" s="5">
        <v>2</v>
      </c>
      <c r="F279" s="5" t="s">
        <v>1014</v>
      </c>
      <c r="G279" s="5">
        <v>1</v>
      </c>
      <c r="H279" s="5">
        <v>399</v>
      </c>
      <c r="I279" s="5" t="s">
        <v>975</v>
      </c>
      <c r="J279" s="5" t="str">
        <f t="shared" si="4"/>
        <v>RETAIL</v>
      </c>
    </row>
    <row r="280" spans="1:10" x14ac:dyDescent="0.25">
      <c r="A280" s="5">
        <v>5279</v>
      </c>
      <c r="B280" s="6">
        <v>45802</v>
      </c>
      <c r="C280" s="5" t="s">
        <v>282</v>
      </c>
      <c r="D280" s="5" t="s">
        <v>1538</v>
      </c>
      <c r="E280" s="5">
        <v>2</v>
      </c>
      <c r="F280" s="5" t="s">
        <v>1015</v>
      </c>
      <c r="G280" s="5">
        <v>1</v>
      </c>
      <c r="H280" s="5">
        <v>2099</v>
      </c>
      <c r="I280" s="5" t="s">
        <v>976</v>
      </c>
      <c r="J280" s="5" t="str">
        <f t="shared" si="4"/>
        <v>RETAIL</v>
      </c>
    </row>
    <row r="281" spans="1:10" x14ac:dyDescent="0.25">
      <c r="A281" s="5">
        <v>5280</v>
      </c>
      <c r="B281" s="6">
        <v>45803</v>
      </c>
      <c r="C281" s="5" t="s">
        <v>283</v>
      </c>
      <c r="D281" s="5" t="s">
        <v>1538</v>
      </c>
      <c r="E281" s="5">
        <v>5</v>
      </c>
      <c r="F281" s="5" t="s">
        <v>1016</v>
      </c>
      <c r="G281" s="5">
        <v>33</v>
      </c>
      <c r="H281" s="5">
        <v>1761.93</v>
      </c>
      <c r="I281" s="5" t="s">
        <v>822</v>
      </c>
      <c r="J281" s="5" t="str">
        <f t="shared" si="4"/>
        <v>BULK/HOSPITALS</v>
      </c>
    </row>
    <row r="282" spans="1:10" x14ac:dyDescent="0.25">
      <c r="A282" s="5">
        <v>5281</v>
      </c>
      <c r="B282" s="6">
        <v>45803</v>
      </c>
      <c r="C282" s="5" t="s">
        <v>284</v>
      </c>
      <c r="D282" s="5" t="s">
        <v>1538</v>
      </c>
      <c r="E282" s="5">
        <v>5</v>
      </c>
      <c r="F282" s="5" t="s">
        <v>1017</v>
      </c>
      <c r="G282" s="5">
        <v>30</v>
      </c>
      <c r="H282" s="5">
        <v>822.9</v>
      </c>
      <c r="I282" s="5" t="s">
        <v>822</v>
      </c>
      <c r="J282" s="5" t="str">
        <f t="shared" si="4"/>
        <v>BULK/HOSPITALS</v>
      </c>
    </row>
    <row r="283" spans="1:10" x14ac:dyDescent="0.25">
      <c r="A283" s="5">
        <v>5282</v>
      </c>
      <c r="B283" s="6">
        <v>45803</v>
      </c>
      <c r="C283" s="5" t="s">
        <v>285</v>
      </c>
      <c r="D283" s="5" t="s">
        <v>1535</v>
      </c>
      <c r="E283" s="5">
        <v>7</v>
      </c>
      <c r="F283" s="5" t="s">
        <v>1018</v>
      </c>
      <c r="G283" s="5">
        <v>60</v>
      </c>
      <c r="H283" s="5">
        <v>537.08000000000004</v>
      </c>
      <c r="I283" s="5" t="s">
        <v>834</v>
      </c>
      <c r="J283" s="5" t="str">
        <f t="shared" si="4"/>
        <v>BULK/HOSPITALS</v>
      </c>
    </row>
    <row r="284" spans="1:10" x14ac:dyDescent="0.25">
      <c r="A284" s="5">
        <v>5283</v>
      </c>
      <c r="B284" s="6">
        <v>45804</v>
      </c>
      <c r="C284" s="5" t="s">
        <v>286</v>
      </c>
      <c r="D284" s="5" t="s">
        <v>1539</v>
      </c>
      <c r="E284" s="5">
        <v>5</v>
      </c>
      <c r="F284" s="5" t="s">
        <v>1019</v>
      </c>
      <c r="G284" s="5">
        <v>21</v>
      </c>
      <c r="H284" s="5">
        <v>861.78</v>
      </c>
      <c r="I284" s="5" t="s">
        <v>977</v>
      </c>
      <c r="J284" s="5" t="str">
        <f t="shared" si="4"/>
        <v>BULK/HOSPITALS</v>
      </c>
    </row>
    <row r="285" spans="1:10" x14ac:dyDescent="0.25">
      <c r="A285" s="5">
        <v>5284</v>
      </c>
      <c r="B285" s="6">
        <v>45804</v>
      </c>
      <c r="C285" s="5" t="s">
        <v>287</v>
      </c>
      <c r="D285" s="5" t="s">
        <v>1535</v>
      </c>
      <c r="E285" s="5">
        <v>5</v>
      </c>
      <c r="F285" s="5" t="s">
        <v>1020</v>
      </c>
      <c r="G285" s="5">
        <v>30</v>
      </c>
      <c r="H285" s="5">
        <v>205.44</v>
      </c>
      <c r="I285" s="5" t="s">
        <v>978</v>
      </c>
      <c r="J285" s="5" t="str">
        <f t="shared" si="4"/>
        <v>BULK/HOSPITALS</v>
      </c>
    </row>
    <row r="286" spans="1:10" x14ac:dyDescent="0.25">
      <c r="A286" s="5">
        <v>5285</v>
      </c>
      <c r="B286" s="6">
        <v>45804</v>
      </c>
      <c r="C286" s="5" t="s">
        <v>288</v>
      </c>
      <c r="D286" s="5" t="s">
        <v>1535</v>
      </c>
      <c r="E286" s="5">
        <v>5</v>
      </c>
      <c r="F286" s="5" t="s">
        <v>1021</v>
      </c>
      <c r="G286" s="5">
        <v>15</v>
      </c>
      <c r="H286" s="5">
        <v>118.85</v>
      </c>
      <c r="I286" s="5" t="s">
        <v>978</v>
      </c>
      <c r="J286" s="5" t="str">
        <f t="shared" si="4"/>
        <v>REGULAR</v>
      </c>
    </row>
    <row r="287" spans="1:10" x14ac:dyDescent="0.25">
      <c r="A287" s="5">
        <v>5286</v>
      </c>
      <c r="B287" s="6">
        <v>45804</v>
      </c>
      <c r="C287" s="5" t="s">
        <v>289</v>
      </c>
      <c r="D287" s="5" t="s">
        <v>1535</v>
      </c>
      <c r="E287" s="5">
        <v>10</v>
      </c>
      <c r="F287" s="5" t="s">
        <v>1022</v>
      </c>
      <c r="G287" s="5">
        <v>150</v>
      </c>
      <c r="H287" s="5">
        <v>752.33</v>
      </c>
      <c r="I287" s="5" t="s">
        <v>978</v>
      </c>
      <c r="J287" s="5" t="str">
        <f t="shared" si="4"/>
        <v>BULK/HOSPITALS</v>
      </c>
    </row>
    <row r="288" spans="1:10" x14ac:dyDescent="0.25">
      <c r="A288" s="5">
        <v>5287</v>
      </c>
      <c r="B288" s="6">
        <v>45805</v>
      </c>
      <c r="C288" s="5" t="s">
        <v>290</v>
      </c>
      <c r="D288" s="5" t="s">
        <v>1538</v>
      </c>
      <c r="E288" s="5">
        <v>5</v>
      </c>
      <c r="F288" s="5" t="s">
        <v>1023</v>
      </c>
      <c r="G288" s="5">
        <v>15</v>
      </c>
      <c r="H288" s="5">
        <v>115.09</v>
      </c>
      <c r="I288" s="5" t="s">
        <v>826</v>
      </c>
      <c r="J288" s="5" t="str">
        <f t="shared" si="4"/>
        <v>REGULAR</v>
      </c>
    </row>
    <row r="289" spans="1:10" x14ac:dyDescent="0.25">
      <c r="A289" s="5">
        <v>5288</v>
      </c>
      <c r="B289" s="6">
        <v>45805</v>
      </c>
      <c r="C289" s="5" t="s">
        <v>291</v>
      </c>
      <c r="D289" s="5" t="s">
        <v>1538</v>
      </c>
      <c r="E289" s="5">
        <v>2</v>
      </c>
      <c r="F289" s="5" t="s">
        <v>1024</v>
      </c>
      <c r="G289" s="5">
        <v>1</v>
      </c>
      <c r="H289" s="5">
        <v>178.13</v>
      </c>
      <c r="I289" s="5" t="s">
        <v>979</v>
      </c>
      <c r="J289" s="5" t="str">
        <f t="shared" si="4"/>
        <v>RETAIL</v>
      </c>
    </row>
    <row r="290" spans="1:10" x14ac:dyDescent="0.25">
      <c r="A290" s="5">
        <v>5289</v>
      </c>
      <c r="B290" s="6">
        <v>45805</v>
      </c>
      <c r="C290" s="5" t="s">
        <v>292</v>
      </c>
      <c r="D290" s="5" t="s">
        <v>1538</v>
      </c>
      <c r="E290" s="5">
        <v>2</v>
      </c>
      <c r="F290" s="5" t="s">
        <v>1025</v>
      </c>
      <c r="G290" s="5">
        <v>4</v>
      </c>
      <c r="H290" s="5">
        <v>1646.86</v>
      </c>
      <c r="I290" s="5" t="s">
        <v>980</v>
      </c>
      <c r="J290" s="5" t="str">
        <f t="shared" si="4"/>
        <v>REGULAR</v>
      </c>
    </row>
    <row r="291" spans="1:10" x14ac:dyDescent="0.25">
      <c r="A291" s="5">
        <v>5290</v>
      </c>
      <c r="B291" s="6">
        <v>45805</v>
      </c>
      <c r="C291" s="5" t="s">
        <v>293</v>
      </c>
      <c r="D291" s="5" t="s">
        <v>1538</v>
      </c>
      <c r="E291" s="5">
        <v>5</v>
      </c>
      <c r="F291" s="5" t="s">
        <v>1026</v>
      </c>
      <c r="G291" s="5">
        <v>16</v>
      </c>
      <c r="H291" s="5">
        <v>8953.5</v>
      </c>
      <c r="I291" s="5" t="s">
        <v>980</v>
      </c>
      <c r="J291" s="5" t="str">
        <f t="shared" si="4"/>
        <v>REGULAR</v>
      </c>
    </row>
    <row r="292" spans="1:10" x14ac:dyDescent="0.25">
      <c r="A292" s="5">
        <v>5291</v>
      </c>
      <c r="B292" s="6">
        <v>45805</v>
      </c>
      <c r="C292" s="5" t="s">
        <v>294</v>
      </c>
      <c r="D292" s="5" t="s">
        <v>1535</v>
      </c>
      <c r="E292" s="5">
        <v>5</v>
      </c>
      <c r="F292" s="5" t="s">
        <v>1027</v>
      </c>
      <c r="G292" s="5">
        <v>14</v>
      </c>
      <c r="H292" s="5">
        <v>5.49</v>
      </c>
      <c r="I292" s="5" t="s">
        <v>981</v>
      </c>
      <c r="J292" s="5" t="str">
        <f t="shared" si="4"/>
        <v>REGULAR</v>
      </c>
    </row>
    <row r="293" spans="1:10" x14ac:dyDescent="0.25">
      <c r="A293" s="5">
        <v>5292</v>
      </c>
      <c r="B293" s="6">
        <v>45806</v>
      </c>
      <c r="C293" s="5" t="s">
        <v>295</v>
      </c>
      <c r="D293" s="5" t="s">
        <v>1538</v>
      </c>
      <c r="E293" s="5">
        <v>5</v>
      </c>
      <c r="F293" s="5" t="s">
        <v>1028</v>
      </c>
      <c r="G293" s="5">
        <v>10</v>
      </c>
      <c r="H293" s="5">
        <v>52.25</v>
      </c>
      <c r="I293" s="5" t="s">
        <v>822</v>
      </c>
      <c r="J293" s="5" t="str">
        <f t="shared" si="4"/>
        <v>REGULAR</v>
      </c>
    </row>
    <row r="294" spans="1:10" x14ac:dyDescent="0.25">
      <c r="A294" s="5">
        <v>5293</v>
      </c>
      <c r="B294" s="6">
        <v>45806</v>
      </c>
      <c r="C294" s="5" t="s">
        <v>296</v>
      </c>
      <c r="D294" s="5" t="s">
        <v>1538</v>
      </c>
      <c r="E294" s="5">
        <v>5</v>
      </c>
      <c r="F294" s="5" t="s">
        <v>1029</v>
      </c>
      <c r="G294" s="5">
        <v>15</v>
      </c>
      <c r="H294" s="5">
        <v>100.2</v>
      </c>
      <c r="I294" s="5" t="s">
        <v>981</v>
      </c>
      <c r="J294" s="5" t="str">
        <f t="shared" si="4"/>
        <v>REGULAR</v>
      </c>
    </row>
    <row r="295" spans="1:10" x14ac:dyDescent="0.25">
      <c r="A295" s="5">
        <v>5294</v>
      </c>
      <c r="B295" s="6">
        <v>45806</v>
      </c>
      <c r="C295" s="5" t="s">
        <v>297</v>
      </c>
      <c r="D295" s="5" t="s">
        <v>1538</v>
      </c>
      <c r="E295" s="5">
        <v>7</v>
      </c>
      <c r="F295" s="5" t="s">
        <v>1030</v>
      </c>
      <c r="G295" s="5">
        <v>60</v>
      </c>
      <c r="H295" s="5">
        <v>1001.58</v>
      </c>
      <c r="I295" s="5" t="s">
        <v>982</v>
      </c>
      <c r="J295" s="5" t="str">
        <f t="shared" si="4"/>
        <v>BULK/HOSPITALS</v>
      </c>
    </row>
    <row r="296" spans="1:10" x14ac:dyDescent="0.25">
      <c r="A296" s="5">
        <v>5295</v>
      </c>
      <c r="B296" s="6">
        <v>45807</v>
      </c>
      <c r="C296" s="5" t="s">
        <v>298</v>
      </c>
      <c r="D296" s="5" t="s">
        <v>1538</v>
      </c>
      <c r="E296" s="5">
        <v>5</v>
      </c>
      <c r="F296" s="5" t="s">
        <v>1031</v>
      </c>
      <c r="G296" s="5">
        <v>30</v>
      </c>
      <c r="H296" s="5">
        <v>372</v>
      </c>
      <c r="I296" s="5" t="s">
        <v>982</v>
      </c>
      <c r="J296" s="5" t="str">
        <f t="shared" si="4"/>
        <v>BULK/HOSPITALS</v>
      </c>
    </row>
    <row r="297" spans="1:10" x14ac:dyDescent="0.25">
      <c r="A297" s="5">
        <v>5296</v>
      </c>
      <c r="B297" s="6">
        <v>45807</v>
      </c>
      <c r="C297" s="5" t="s">
        <v>299</v>
      </c>
      <c r="D297" s="5" t="s">
        <v>1538</v>
      </c>
      <c r="E297" s="5">
        <v>2</v>
      </c>
      <c r="F297" s="5" t="s">
        <v>1032</v>
      </c>
      <c r="G297" s="5">
        <v>1</v>
      </c>
      <c r="H297" s="5">
        <v>1620</v>
      </c>
      <c r="I297" s="5" t="s">
        <v>983</v>
      </c>
      <c r="J297" s="5" t="str">
        <f t="shared" si="4"/>
        <v>RETAIL</v>
      </c>
    </row>
    <row r="298" spans="1:10" x14ac:dyDescent="0.25">
      <c r="A298" s="5">
        <v>5297</v>
      </c>
      <c r="B298" s="6">
        <v>45807</v>
      </c>
      <c r="C298" s="5" t="s">
        <v>300</v>
      </c>
      <c r="D298" s="5" t="s">
        <v>1538</v>
      </c>
      <c r="E298" s="5">
        <v>7</v>
      </c>
      <c r="F298" s="5" t="s">
        <v>1033</v>
      </c>
      <c r="G298" s="5">
        <v>80</v>
      </c>
      <c r="H298" s="5">
        <v>339.6</v>
      </c>
      <c r="I298" s="5" t="s">
        <v>984</v>
      </c>
      <c r="J298" s="5" t="str">
        <f t="shared" si="4"/>
        <v>BULK/HOSPITALS</v>
      </c>
    </row>
    <row r="299" spans="1:10" x14ac:dyDescent="0.25">
      <c r="A299" s="5">
        <v>5298</v>
      </c>
      <c r="B299" s="6">
        <v>45807</v>
      </c>
      <c r="C299" s="5" t="s">
        <v>301</v>
      </c>
      <c r="D299" s="5" t="s">
        <v>1538</v>
      </c>
      <c r="E299" s="5">
        <v>5</v>
      </c>
      <c r="F299" s="5" t="s">
        <v>1034</v>
      </c>
      <c r="G299" s="5">
        <v>30</v>
      </c>
      <c r="H299" s="5">
        <v>684.87</v>
      </c>
      <c r="I299" s="5" t="s">
        <v>985</v>
      </c>
      <c r="J299" s="5" t="str">
        <f t="shared" si="4"/>
        <v>BULK/HOSPITALS</v>
      </c>
    </row>
    <row r="300" spans="1:10" x14ac:dyDescent="0.25">
      <c r="A300" s="5">
        <v>5299</v>
      </c>
      <c r="B300" s="6">
        <v>45808</v>
      </c>
      <c r="C300" s="5" t="s">
        <v>302</v>
      </c>
      <c r="D300" s="5" t="s">
        <v>1538</v>
      </c>
      <c r="E300" s="5">
        <v>5</v>
      </c>
      <c r="F300" s="5" t="s">
        <v>1035</v>
      </c>
      <c r="G300" s="5">
        <v>10</v>
      </c>
      <c r="H300" s="5">
        <v>42.3</v>
      </c>
      <c r="I300" s="5" t="s">
        <v>986</v>
      </c>
      <c r="J300" s="5" t="str">
        <f t="shared" si="4"/>
        <v>REGULAR</v>
      </c>
    </row>
    <row r="301" spans="1:10" x14ac:dyDescent="0.25">
      <c r="A301" s="5">
        <v>5300</v>
      </c>
      <c r="B301" s="6">
        <v>45808</v>
      </c>
      <c r="C301" s="5" t="s">
        <v>303</v>
      </c>
      <c r="D301" s="5" t="s">
        <v>1536</v>
      </c>
      <c r="E301" s="5">
        <v>2</v>
      </c>
      <c r="F301" s="5" t="s">
        <v>1036</v>
      </c>
      <c r="G301" s="5">
        <v>1</v>
      </c>
      <c r="H301" s="5">
        <v>131</v>
      </c>
      <c r="I301" s="5" t="s">
        <v>987</v>
      </c>
      <c r="J301" s="5" t="str">
        <f t="shared" si="4"/>
        <v>RETAIL</v>
      </c>
    </row>
    <row r="302" spans="1:10" x14ac:dyDescent="0.25">
      <c r="A302" s="5">
        <v>5301</v>
      </c>
      <c r="B302" s="6">
        <v>45808</v>
      </c>
      <c r="C302" s="5" t="s">
        <v>304</v>
      </c>
      <c r="D302" s="5" t="s">
        <v>1535</v>
      </c>
      <c r="E302" s="5">
        <v>2</v>
      </c>
      <c r="F302" s="5" t="s">
        <v>1037</v>
      </c>
      <c r="G302" s="5">
        <v>5</v>
      </c>
      <c r="H302" s="5">
        <v>28.78</v>
      </c>
      <c r="I302" s="5" t="s">
        <v>988</v>
      </c>
      <c r="J302" s="5" t="str">
        <f t="shared" si="4"/>
        <v>REGULAR</v>
      </c>
    </row>
    <row r="303" spans="1:10" x14ac:dyDescent="0.25">
      <c r="A303" s="5">
        <v>5302</v>
      </c>
      <c r="B303" s="6">
        <v>45808</v>
      </c>
      <c r="C303" s="5" t="s">
        <v>305</v>
      </c>
      <c r="D303" s="5" t="s">
        <v>1538</v>
      </c>
      <c r="E303" s="5">
        <v>2</v>
      </c>
      <c r="F303" s="5" t="s">
        <v>1038</v>
      </c>
      <c r="G303" s="5">
        <v>1</v>
      </c>
      <c r="H303" s="5">
        <v>290.25</v>
      </c>
      <c r="I303" s="5" t="s">
        <v>989</v>
      </c>
      <c r="J303" s="5" t="str">
        <f t="shared" si="4"/>
        <v>RETAIL</v>
      </c>
    </row>
    <row r="304" spans="1:10" x14ac:dyDescent="0.25">
      <c r="A304" s="5">
        <v>5303</v>
      </c>
      <c r="B304" s="6">
        <v>45808</v>
      </c>
      <c r="C304" s="5" t="s">
        <v>306</v>
      </c>
      <c r="D304" s="5" t="s">
        <v>1538</v>
      </c>
      <c r="E304" s="5">
        <v>7</v>
      </c>
      <c r="F304" s="5" t="s">
        <v>1039</v>
      </c>
      <c r="G304" s="5">
        <v>76</v>
      </c>
      <c r="H304" s="5">
        <v>806</v>
      </c>
      <c r="I304" s="5" t="s">
        <v>888</v>
      </c>
      <c r="J304" s="5" t="str">
        <f t="shared" si="4"/>
        <v>BULK/HOSPITALS</v>
      </c>
    </row>
    <row r="305" spans="1:10" x14ac:dyDescent="0.25">
      <c r="A305" s="5">
        <v>5304</v>
      </c>
      <c r="B305" s="6">
        <v>45809</v>
      </c>
      <c r="C305" s="5" t="s">
        <v>307</v>
      </c>
      <c r="D305" s="5" t="s">
        <v>1538</v>
      </c>
      <c r="E305" s="5">
        <v>5</v>
      </c>
      <c r="F305" s="5" t="s">
        <v>1040</v>
      </c>
      <c r="G305" s="5">
        <v>10</v>
      </c>
      <c r="H305" s="5">
        <v>100</v>
      </c>
      <c r="I305" s="5" t="s">
        <v>990</v>
      </c>
      <c r="J305" s="5" t="str">
        <f t="shared" si="4"/>
        <v>REGULAR</v>
      </c>
    </row>
    <row r="306" spans="1:10" x14ac:dyDescent="0.25">
      <c r="A306" s="5">
        <v>5305</v>
      </c>
      <c r="B306" s="6">
        <v>45809</v>
      </c>
      <c r="C306" s="5" t="s">
        <v>308</v>
      </c>
      <c r="D306" s="5" t="s">
        <v>1538</v>
      </c>
      <c r="E306" s="5">
        <v>2</v>
      </c>
      <c r="F306" s="5" t="s">
        <v>1041</v>
      </c>
      <c r="G306" s="5">
        <v>2</v>
      </c>
      <c r="H306" s="5">
        <v>1744.06</v>
      </c>
      <c r="I306" s="5" t="s">
        <v>991</v>
      </c>
      <c r="J306" s="5" t="str">
        <f t="shared" si="4"/>
        <v>RETAIL</v>
      </c>
    </row>
    <row r="307" spans="1:10" x14ac:dyDescent="0.25">
      <c r="A307" s="5">
        <v>5306</v>
      </c>
      <c r="B307" s="6">
        <v>45809</v>
      </c>
      <c r="C307" s="5" t="s">
        <v>309</v>
      </c>
      <c r="D307" s="5" t="s">
        <v>1538</v>
      </c>
      <c r="E307" s="5">
        <v>2</v>
      </c>
      <c r="F307" s="5" t="s">
        <v>1042</v>
      </c>
      <c r="G307" s="5">
        <v>1</v>
      </c>
      <c r="H307" s="5">
        <v>379.69</v>
      </c>
      <c r="I307" s="5" t="s">
        <v>992</v>
      </c>
      <c r="J307" s="5" t="str">
        <f t="shared" si="4"/>
        <v>RETAIL</v>
      </c>
    </row>
    <row r="308" spans="1:10" x14ac:dyDescent="0.25">
      <c r="A308" s="5">
        <v>5307</v>
      </c>
      <c r="B308" s="6">
        <v>45810</v>
      </c>
      <c r="C308" s="5" t="s">
        <v>310</v>
      </c>
      <c r="D308" s="5" t="s">
        <v>1535</v>
      </c>
      <c r="E308" s="5">
        <v>5</v>
      </c>
      <c r="F308" s="5" t="s">
        <v>1043</v>
      </c>
      <c r="G308" s="5">
        <v>10</v>
      </c>
      <c r="H308" s="5">
        <v>172</v>
      </c>
      <c r="I308" s="5" t="s">
        <v>993</v>
      </c>
      <c r="J308" s="5" t="str">
        <f t="shared" si="4"/>
        <v>REGULAR</v>
      </c>
    </row>
    <row r="309" spans="1:10" x14ac:dyDescent="0.25">
      <c r="A309" s="5">
        <v>5308</v>
      </c>
      <c r="B309" s="6">
        <v>45810</v>
      </c>
      <c r="C309" s="5" t="s">
        <v>311</v>
      </c>
      <c r="D309" s="5" t="s">
        <v>1538</v>
      </c>
      <c r="E309" s="5">
        <v>2</v>
      </c>
      <c r="F309" s="5" t="s">
        <v>1044</v>
      </c>
      <c r="G309" s="5">
        <v>6</v>
      </c>
      <c r="H309" s="5">
        <v>66</v>
      </c>
      <c r="I309" s="5" t="s">
        <v>994</v>
      </c>
      <c r="J309" s="5" t="str">
        <f t="shared" si="4"/>
        <v>REGULAR</v>
      </c>
    </row>
    <row r="310" spans="1:10" x14ac:dyDescent="0.25">
      <c r="A310" s="5">
        <v>5309</v>
      </c>
      <c r="B310" s="6">
        <v>45810</v>
      </c>
      <c r="C310" s="5" t="s">
        <v>312</v>
      </c>
      <c r="D310" s="5" t="s">
        <v>1535</v>
      </c>
      <c r="E310" s="5">
        <v>10</v>
      </c>
      <c r="F310" s="5" t="s">
        <v>1045</v>
      </c>
      <c r="G310" s="5">
        <v>240</v>
      </c>
      <c r="H310" s="5">
        <v>477.12</v>
      </c>
      <c r="I310" s="5" t="s">
        <v>995</v>
      </c>
      <c r="J310" s="5" t="str">
        <f t="shared" si="4"/>
        <v>BULK/HOSPITALS</v>
      </c>
    </row>
    <row r="311" spans="1:10" x14ac:dyDescent="0.25">
      <c r="A311" s="5">
        <v>5310</v>
      </c>
      <c r="B311" s="6">
        <v>45810</v>
      </c>
      <c r="C311" s="5" t="s">
        <v>313</v>
      </c>
      <c r="D311" s="5" t="s">
        <v>1535</v>
      </c>
      <c r="E311" s="5">
        <v>5</v>
      </c>
      <c r="F311" s="5" t="s">
        <v>1046</v>
      </c>
      <c r="G311" s="5">
        <v>15</v>
      </c>
      <c r="H311" s="5">
        <v>279.26</v>
      </c>
      <c r="I311" s="5" t="s">
        <v>996</v>
      </c>
      <c r="J311" s="5" t="str">
        <f t="shared" si="4"/>
        <v>REGULAR</v>
      </c>
    </row>
    <row r="312" spans="1:10" x14ac:dyDescent="0.25">
      <c r="A312" s="5">
        <v>5311</v>
      </c>
      <c r="B312" s="6">
        <v>45811</v>
      </c>
      <c r="C312" s="5" t="s">
        <v>546</v>
      </c>
      <c r="D312" s="5" t="s">
        <v>1538</v>
      </c>
      <c r="E312" s="5">
        <v>2</v>
      </c>
      <c r="F312" s="5" t="s">
        <v>1073</v>
      </c>
      <c r="G312" s="5">
        <v>5</v>
      </c>
      <c r="H312" s="5">
        <v>600</v>
      </c>
      <c r="I312" s="5" t="s">
        <v>1047</v>
      </c>
      <c r="J312" s="5" t="str">
        <f t="shared" si="4"/>
        <v>REGULAR</v>
      </c>
    </row>
    <row r="313" spans="1:10" x14ac:dyDescent="0.25">
      <c r="A313" s="5">
        <v>5312</v>
      </c>
      <c r="B313" s="6">
        <v>45811</v>
      </c>
      <c r="C313" s="5" t="s">
        <v>547</v>
      </c>
      <c r="D313" s="5" t="s">
        <v>1535</v>
      </c>
      <c r="E313" s="5">
        <v>10</v>
      </c>
      <c r="F313" s="5" t="s">
        <v>1074</v>
      </c>
      <c r="G313" s="5">
        <v>180</v>
      </c>
      <c r="H313" s="5">
        <v>1983.78</v>
      </c>
      <c r="I313" s="5" t="s">
        <v>1048</v>
      </c>
      <c r="J313" s="5" t="str">
        <f t="shared" si="4"/>
        <v>BULK/HOSPITALS</v>
      </c>
    </row>
    <row r="314" spans="1:10" x14ac:dyDescent="0.25">
      <c r="A314" s="5">
        <v>5313</v>
      </c>
      <c r="B314" s="6">
        <v>45811</v>
      </c>
      <c r="C314" s="5" t="s">
        <v>548</v>
      </c>
      <c r="D314" s="5" t="s">
        <v>1538</v>
      </c>
      <c r="E314" s="5">
        <v>2</v>
      </c>
      <c r="F314" s="5" t="s">
        <v>1075</v>
      </c>
      <c r="G314" s="5">
        <v>1</v>
      </c>
      <c r="H314" s="5">
        <v>110.1</v>
      </c>
      <c r="I314" s="5" t="s">
        <v>869</v>
      </c>
      <c r="J314" s="5" t="str">
        <f t="shared" si="4"/>
        <v>RETAIL</v>
      </c>
    </row>
    <row r="315" spans="1:10" x14ac:dyDescent="0.25">
      <c r="A315" s="5">
        <v>5314</v>
      </c>
      <c r="B315" s="6">
        <v>45811</v>
      </c>
      <c r="C315" s="5" t="s">
        <v>549</v>
      </c>
      <c r="D315" s="5" t="s">
        <v>1535</v>
      </c>
      <c r="E315" s="5">
        <v>10</v>
      </c>
      <c r="F315" s="5" t="s">
        <v>1076</v>
      </c>
      <c r="G315" s="5">
        <v>270</v>
      </c>
      <c r="H315" s="5">
        <v>6501.06</v>
      </c>
      <c r="I315" s="5" t="s">
        <v>1049</v>
      </c>
      <c r="J315" s="5" t="str">
        <f t="shared" si="4"/>
        <v>BULK/HOSPITALS</v>
      </c>
    </row>
    <row r="316" spans="1:10" x14ac:dyDescent="0.25">
      <c r="A316" s="5">
        <v>5315</v>
      </c>
      <c r="B316" s="6">
        <v>45811</v>
      </c>
      <c r="C316" s="5" t="s">
        <v>550</v>
      </c>
      <c r="D316" s="5" t="s">
        <v>1535</v>
      </c>
      <c r="E316" s="5">
        <v>10</v>
      </c>
      <c r="F316" s="5" t="s">
        <v>1077</v>
      </c>
      <c r="G316" s="5">
        <v>200</v>
      </c>
      <c r="H316" s="5">
        <v>423.4</v>
      </c>
      <c r="I316" s="5" t="s">
        <v>1050</v>
      </c>
      <c r="J316" s="5" t="str">
        <f t="shared" si="4"/>
        <v>BULK/HOSPITALS</v>
      </c>
    </row>
    <row r="317" spans="1:10" x14ac:dyDescent="0.25">
      <c r="A317" s="5">
        <v>5316</v>
      </c>
      <c r="B317" s="6">
        <v>45812</v>
      </c>
      <c r="C317" s="5" t="s">
        <v>551</v>
      </c>
      <c r="D317" s="5" t="s">
        <v>1538</v>
      </c>
      <c r="E317" s="5">
        <v>2</v>
      </c>
      <c r="F317" s="5" t="s">
        <v>1078</v>
      </c>
      <c r="G317" s="5">
        <v>1</v>
      </c>
      <c r="H317" s="5">
        <v>219</v>
      </c>
      <c r="I317" s="5" t="s">
        <v>1051</v>
      </c>
      <c r="J317" s="5" t="str">
        <f t="shared" si="4"/>
        <v>RETAIL</v>
      </c>
    </row>
    <row r="318" spans="1:10" x14ac:dyDescent="0.25">
      <c r="A318" s="5">
        <v>5317</v>
      </c>
      <c r="B318" s="6">
        <v>45812</v>
      </c>
      <c r="C318" s="5" t="s">
        <v>314</v>
      </c>
      <c r="D318" s="5" t="s">
        <v>1538</v>
      </c>
      <c r="E318" s="5">
        <v>2</v>
      </c>
      <c r="F318" s="5" t="s">
        <v>1079</v>
      </c>
      <c r="G318" s="5">
        <v>2</v>
      </c>
      <c r="H318" s="5">
        <v>558</v>
      </c>
      <c r="I318" s="5" t="s">
        <v>1051</v>
      </c>
      <c r="J318" s="5" t="str">
        <f t="shared" si="4"/>
        <v>RETAIL</v>
      </c>
    </row>
    <row r="319" spans="1:10" x14ac:dyDescent="0.25">
      <c r="A319" s="5">
        <v>5318</v>
      </c>
      <c r="B319" s="6">
        <v>45812</v>
      </c>
      <c r="C319" s="5" t="s">
        <v>315</v>
      </c>
      <c r="D319" s="5" t="s">
        <v>1538</v>
      </c>
      <c r="E319" s="5">
        <v>2</v>
      </c>
      <c r="F319" s="5" t="s">
        <v>1080</v>
      </c>
      <c r="G319" s="5">
        <v>1</v>
      </c>
      <c r="H319" s="5">
        <v>249</v>
      </c>
      <c r="I319" s="5" t="s">
        <v>1051</v>
      </c>
      <c r="J319" s="5" t="str">
        <f t="shared" si="4"/>
        <v>RETAIL</v>
      </c>
    </row>
    <row r="320" spans="1:10" x14ac:dyDescent="0.25">
      <c r="A320" s="5">
        <v>5319</v>
      </c>
      <c r="B320" s="6">
        <v>45813</v>
      </c>
      <c r="C320" s="5" t="s">
        <v>316</v>
      </c>
      <c r="D320" s="5" t="s">
        <v>1538</v>
      </c>
      <c r="E320" s="5">
        <v>2</v>
      </c>
      <c r="F320" s="5" t="s">
        <v>1081</v>
      </c>
      <c r="G320" s="5">
        <v>1</v>
      </c>
      <c r="H320" s="5">
        <v>299</v>
      </c>
      <c r="I320" s="5" t="s">
        <v>1051</v>
      </c>
      <c r="J320" s="5" t="str">
        <f t="shared" si="4"/>
        <v>RETAIL</v>
      </c>
    </row>
    <row r="321" spans="1:10" x14ac:dyDescent="0.25">
      <c r="A321" s="5">
        <v>5320</v>
      </c>
      <c r="B321" s="6">
        <v>45813</v>
      </c>
      <c r="C321" s="5" t="s">
        <v>317</v>
      </c>
      <c r="D321" s="5" t="s">
        <v>1538</v>
      </c>
      <c r="E321" s="5">
        <v>2</v>
      </c>
      <c r="F321" s="5" t="s">
        <v>1082</v>
      </c>
      <c r="G321" s="5">
        <v>4</v>
      </c>
      <c r="H321" s="5">
        <v>2476</v>
      </c>
      <c r="I321" s="5" t="s">
        <v>1051</v>
      </c>
      <c r="J321" s="5" t="str">
        <f t="shared" si="4"/>
        <v>REGULAR</v>
      </c>
    </row>
    <row r="322" spans="1:10" x14ac:dyDescent="0.25">
      <c r="A322" s="5">
        <v>5321</v>
      </c>
      <c r="B322" s="6">
        <v>45813</v>
      </c>
      <c r="C322" s="5" t="s">
        <v>318</v>
      </c>
      <c r="D322" s="5" t="s">
        <v>1535</v>
      </c>
      <c r="E322" s="5">
        <v>5</v>
      </c>
      <c r="F322" s="5" t="s">
        <v>1083</v>
      </c>
      <c r="G322" s="5">
        <v>45</v>
      </c>
      <c r="H322" s="5">
        <v>79.16</v>
      </c>
      <c r="I322" s="5" t="s">
        <v>1052</v>
      </c>
      <c r="J322" s="5" t="str">
        <f t="shared" si="4"/>
        <v>BULK/HOSPITALS</v>
      </c>
    </row>
    <row r="323" spans="1:10" x14ac:dyDescent="0.25">
      <c r="A323" s="5">
        <v>5322</v>
      </c>
      <c r="B323" s="6">
        <v>45813</v>
      </c>
      <c r="C323" s="5" t="s">
        <v>552</v>
      </c>
      <c r="D323" s="5" t="s">
        <v>1535</v>
      </c>
      <c r="E323" s="5">
        <v>5</v>
      </c>
      <c r="F323" s="5" t="s">
        <v>1084</v>
      </c>
      <c r="G323" s="5">
        <v>15</v>
      </c>
      <c r="H323" s="5">
        <v>231</v>
      </c>
      <c r="I323" s="5" t="s">
        <v>1053</v>
      </c>
      <c r="J323" s="5" t="str">
        <f t="shared" ref="J323:J386" si="5">IF(G323&lt;=2,"RETAIL",IF(G323&lt;=20,"REGULAR",IF(G323&gt;20,"BULK/HOSPITALS")))</f>
        <v>REGULAR</v>
      </c>
    </row>
    <row r="324" spans="1:10" x14ac:dyDescent="0.25">
      <c r="A324" s="5">
        <v>5323</v>
      </c>
      <c r="B324" s="6">
        <v>45814</v>
      </c>
      <c r="C324" s="5" t="s">
        <v>553</v>
      </c>
      <c r="D324" s="5" t="s">
        <v>1538</v>
      </c>
      <c r="E324" s="5">
        <v>5</v>
      </c>
      <c r="F324" s="5" t="s">
        <v>1085</v>
      </c>
      <c r="G324" s="5">
        <v>28</v>
      </c>
      <c r="H324" s="5">
        <v>3879.21</v>
      </c>
      <c r="I324" s="5" t="s">
        <v>1054</v>
      </c>
      <c r="J324" s="5" t="str">
        <f t="shared" si="5"/>
        <v>BULK/HOSPITALS</v>
      </c>
    </row>
    <row r="325" spans="1:10" x14ac:dyDescent="0.25">
      <c r="A325" s="5">
        <v>5324</v>
      </c>
      <c r="B325" s="6">
        <v>45814</v>
      </c>
      <c r="C325" s="5" t="s">
        <v>554</v>
      </c>
      <c r="D325" s="5" t="s">
        <v>1538</v>
      </c>
      <c r="E325" s="5">
        <v>2</v>
      </c>
      <c r="F325" s="5" t="s">
        <v>1086</v>
      </c>
      <c r="G325" s="5">
        <v>9</v>
      </c>
      <c r="H325" s="5">
        <v>225</v>
      </c>
      <c r="I325" s="5" t="s">
        <v>1055</v>
      </c>
      <c r="J325" s="5" t="str">
        <f t="shared" si="5"/>
        <v>REGULAR</v>
      </c>
    </row>
    <row r="326" spans="1:10" x14ac:dyDescent="0.25">
      <c r="A326" s="5">
        <v>5325</v>
      </c>
      <c r="B326" s="6">
        <v>45814</v>
      </c>
      <c r="C326" s="5" t="s">
        <v>319</v>
      </c>
      <c r="D326" s="5" t="s">
        <v>1538</v>
      </c>
      <c r="E326" s="5">
        <v>2</v>
      </c>
      <c r="F326" s="5" t="s">
        <v>1087</v>
      </c>
      <c r="G326" s="5">
        <v>1</v>
      </c>
      <c r="H326" s="5">
        <v>5</v>
      </c>
      <c r="I326" s="5" t="s">
        <v>1056</v>
      </c>
      <c r="J326" s="5" t="str">
        <f t="shared" si="5"/>
        <v>RETAIL</v>
      </c>
    </row>
    <row r="327" spans="1:10" x14ac:dyDescent="0.25">
      <c r="A327" s="5">
        <v>5326</v>
      </c>
      <c r="B327" s="6">
        <v>45814</v>
      </c>
      <c r="C327" s="5" t="s">
        <v>320</v>
      </c>
      <c r="D327" s="5" t="s">
        <v>1535</v>
      </c>
      <c r="E327" s="5">
        <v>10</v>
      </c>
      <c r="F327" s="5" t="s">
        <v>1088</v>
      </c>
      <c r="G327" s="5">
        <v>180</v>
      </c>
      <c r="H327" s="5">
        <v>3484.8</v>
      </c>
      <c r="I327" s="5" t="s">
        <v>843</v>
      </c>
      <c r="J327" s="5" t="str">
        <f t="shared" si="5"/>
        <v>BULK/HOSPITALS</v>
      </c>
    </row>
    <row r="328" spans="1:10" x14ac:dyDescent="0.25">
      <c r="A328" s="5">
        <v>5327</v>
      </c>
      <c r="B328" s="6">
        <v>45814</v>
      </c>
      <c r="C328" s="5" t="s">
        <v>555</v>
      </c>
      <c r="D328" s="5" t="s">
        <v>1538</v>
      </c>
      <c r="E328" s="5">
        <v>5</v>
      </c>
      <c r="F328" s="5" t="s">
        <v>1089</v>
      </c>
      <c r="G328" s="5">
        <v>30</v>
      </c>
      <c r="H328" s="5">
        <v>294</v>
      </c>
      <c r="I328" s="5" t="s">
        <v>1057</v>
      </c>
      <c r="J328" s="5" t="str">
        <f t="shared" si="5"/>
        <v>BULK/HOSPITALS</v>
      </c>
    </row>
    <row r="329" spans="1:10" x14ac:dyDescent="0.25">
      <c r="A329" s="5">
        <v>5328</v>
      </c>
      <c r="B329" s="6">
        <v>45815</v>
      </c>
      <c r="C329" s="5" t="s">
        <v>556</v>
      </c>
      <c r="D329" s="5" t="s">
        <v>1538</v>
      </c>
      <c r="E329" s="5">
        <v>2</v>
      </c>
      <c r="F329" s="5" t="s">
        <v>1090</v>
      </c>
      <c r="G329" s="5">
        <v>1</v>
      </c>
      <c r="H329" s="5">
        <v>197</v>
      </c>
      <c r="I329" s="5" t="s">
        <v>1058</v>
      </c>
      <c r="J329" s="5" t="str">
        <f t="shared" si="5"/>
        <v>RETAIL</v>
      </c>
    </row>
    <row r="330" spans="1:10" x14ac:dyDescent="0.25">
      <c r="A330" s="5">
        <v>5329</v>
      </c>
      <c r="B330" s="6">
        <v>45815</v>
      </c>
      <c r="C330" s="5" t="s">
        <v>557</v>
      </c>
      <c r="D330" s="5" t="s">
        <v>1538</v>
      </c>
      <c r="E330" s="5">
        <v>2</v>
      </c>
      <c r="F330" s="5" t="s">
        <v>1091</v>
      </c>
      <c r="G330" s="5">
        <v>1</v>
      </c>
      <c r="H330" s="5">
        <v>120</v>
      </c>
      <c r="I330" s="5" t="s">
        <v>1059</v>
      </c>
      <c r="J330" s="5" t="str">
        <f t="shared" si="5"/>
        <v>RETAIL</v>
      </c>
    </row>
    <row r="331" spans="1:10" x14ac:dyDescent="0.25">
      <c r="A331" s="5">
        <v>5330</v>
      </c>
      <c r="B331" s="6">
        <v>45815</v>
      </c>
      <c r="C331" s="5" t="s">
        <v>558</v>
      </c>
      <c r="D331" s="5" t="s">
        <v>1538</v>
      </c>
      <c r="E331" s="5">
        <v>2</v>
      </c>
      <c r="F331" s="5" t="s">
        <v>1092</v>
      </c>
      <c r="G331" s="5">
        <v>1</v>
      </c>
      <c r="H331" s="5">
        <v>230</v>
      </c>
      <c r="I331" s="5" t="s">
        <v>1060</v>
      </c>
      <c r="J331" s="5" t="str">
        <f t="shared" si="5"/>
        <v>RETAIL</v>
      </c>
    </row>
    <row r="332" spans="1:10" x14ac:dyDescent="0.25">
      <c r="A332" s="5">
        <v>5331</v>
      </c>
      <c r="B332" s="6">
        <v>45816</v>
      </c>
      <c r="C332" s="5" t="s">
        <v>559</v>
      </c>
      <c r="D332" s="5" t="s">
        <v>1538</v>
      </c>
      <c r="E332" s="5">
        <v>5</v>
      </c>
      <c r="F332" s="5" t="s">
        <v>1093</v>
      </c>
      <c r="G332" s="5">
        <v>15</v>
      </c>
      <c r="H332" s="5">
        <v>575</v>
      </c>
      <c r="I332" s="5" t="s">
        <v>1060</v>
      </c>
      <c r="J332" s="5" t="str">
        <f t="shared" si="5"/>
        <v>REGULAR</v>
      </c>
    </row>
    <row r="333" spans="1:10" x14ac:dyDescent="0.25">
      <c r="A333" s="5">
        <v>5332</v>
      </c>
      <c r="B333" s="6">
        <v>45816</v>
      </c>
      <c r="C333" s="5" t="s">
        <v>560</v>
      </c>
      <c r="D333" s="5" t="s">
        <v>1538</v>
      </c>
      <c r="E333" s="5">
        <v>2</v>
      </c>
      <c r="F333" s="5" t="s">
        <v>1094</v>
      </c>
      <c r="G333" s="5">
        <v>4</v>
      </c>
      <c r="H333" s="5">
        <v>360</v>
      </c>
      <c r="I333" s="5" t="s">
        <v>1059</v>
      </c>
      <c r="J333" s="5" t="str">
        <f t="shared" si="5"/>
        <v>REGULAR</v>
      </c>
    </row>
    <row r="334" spans="1:10" x14ac:dyDescent="0.25">
      <c r="A334" s="5">
        <v>5333</v>
      </c>
      <c r="B334" s="6">
        <v>45816</v>
      </c>
      <c r="C334" s="5" t="s">
        <v>561</v>
      </c>
      <c r="D334" s="5" t="s">
        <v>1538</v>
      </c>
      <c r="E334" s="5">
        <v>2</v>
      </c>
      <c r="F334" s="5" t="s">
        <v>1095</v>
      </c>
      <c r="G334" s="5">
        <v>3</v>
      </c>
      <c r="H334" s="5">
        <v>450</v>
      </c>
      <c r="I334" s="5" t="s">
        <v>1060</v>
      </c>
      <c r="J334" s="5" t="str">
        <f t="shared" si="5"/>
        <v>REGULAR</v>
      </c>
    </row>
    <row r="335" spans="1:10" x14ac:dyDescent="0.25">
      <c r="A335" s="5">
        <v>5334</v>
      </c>
      <c r="B335" s="6">
        <v>45816</v>
      </c>
      <c r="C335" s="5" t="s">
        <v>562</v>
      </c>
      <c r="D335" s="5" t="s">
        <v>1538</v>
      </c>
      <c r="E335" s="5">
        <v>2</v>
      </c>
      <c r="F335" s="5" t="s">
        <v>1096</v>
      </c>
      <c r="G335" s="5">
        <v>6</v>
      </c>
      <c r="H335" s="5">
        <v>1290</v>
      </c>
      <c r="I335" s="5" t="s">
        <v>1061</v>
      </c>
      <c r="J335" s="5" t="str">
        <f t="shared" si="5"/>
        <v>REGULAR</v>
      </c>
    </row>
    <row r="336" spans="1:10" x14ac:dyDescent="0.25">
      <c r="A336" s="5">
        <v>5335</v>
      </c>
      <c r="B336" s="6">
        <v>45817</v>
      </c>
      <c r="C336" s="5" t="s">
        <v>563</v>
      </c>
      <c r="D336" s="5" t="s">
        <v>1538</v>
      </c>
      <c r="E336" s="5">
        <v>2</v>
      </c>
      <c r="F336" s="5" t="s">
        <v>1097</v>
      </c>
      <c r="G336" s="5">
        <v>1</v>
      </c>
      <c r="H336" s="5">
        <v>280</v>
      </c>
      <c r="I336" s="5" t="s">
        <v>1061</v>
      </c>
      <c r="J336" s="5" t="str">
        <f t="shared" si="5"/>
        <v>RETAIL</v>
      </c>
    </row>
    <row r="337" spans="1:10" x14ac:dyDescent="0.25">
      <c r="A337" s="5">
        <v>5336</v>
      </c>
      <c r="B337" s="6">
        <v>45817</v>
      </c>
      <c r="C337" s="5" t="s">
        <v>564</v>
      </c>
      <c r="D337" s="5" t="s">
        <v>1538</v>
      </c>
      <c r="E337" s="5">
        <v>2</v>
      </c>
      <c r="F337" s="5" t="s">
        <v>1098</v>
      </c>
      <c r="G337" s="5">
        <v>3</v>
      </c>
      <c r="H337" s="5">
        <v>465</v>
      </c>
      <c r="I337" s="5" t="s">
        <v>1061</v>
      </c>
      <c r="J337" s="5" t="str">
        <f t="shared" si="5"/>
        <v>REGULAR</v>
      </c>
    </row>
    <row r="338" spans="1:10" x14ac:dyDescent="0.25">
      <c r="A338" s="5">
        <v>5337</v>
      </c>
      <c r="B338" s="6">
        <v>45817</v>
      </c>
      <c r="C338" s="5" t="s">
        <v>565</v>
      </c>
      <c r="D338" s="5" t="s">
        <v>1535</v>
      </c>
      <c r="E338" s="5">
        <v>10</v>
      </c>
      <c r="F338" s="5" t="s">
        <v>1099</v>
      </c>
      <c r="G338" s="5">
        <v>120</v>
      </c>
      <c r="H338" s="5">
        <v>2547.6</v>
      </c>
      <c r="I338" s="5" t="s">
        <v>1062</v>
      </c>
      <c r="J338" s="5" t="str">
        <f t="shared" si="5"/>
        <v>BULK/HOSPITALS</v>
      </c>
    </row>
    <row r="339" spans="1:10" x14ac:dyDescent="0.25">
      <c r="A339" s="5">
        <v>5338</v>
      </c>
      <c r="B339" s="6">
        <v>45817</v>
      </c>
      <c r="C339" s="5" t="s">
        <v>566</v>
      </c>
      <c r="D339" s="5" t="s">
        <v>1535</v>
      </c>
      <c r="E339" s="5">
        <v>10</v>
      </c>
      <c r="F339" s="5" t="s">
        <v>1100</v>
      </c>
      <c r="G339" s="5">
        <v>135</v>
      </c>
      <c r="H339" s="5">
        <v>1534.02</v>
      </c>
      <c r="I339" s="5" t="s">
        <v>1063</v>
      </c>
      <c r="J339" s="5" t="str">
        <f t="shared" si="5"/>
        <v>BULK/HOSPITALS</v>
      </c>
    </row>
    <row r="340" spans="1:10" x14ac:dyDescent="0.25">
      <c r="A340" s="5">
        <v>5339</v>
      </c>
      <c r="B340" s="6">
        <v>45817</v>
      </c>
      <c r="C340" s="5" t="s">
        <v>567</v>
      </c>
      <c r="D340" s="5" t="s">
        <v>1535</v>
      </c>
      <c r="E340" s="5">
        <v>5</v>
      </c>
      <c r="F340" s="5" t="s">
        <v>1101</v>
      </c>
      <c r="G340" s="5">
        <v>40</v>
      </c>
      <c r="H340" s="5">
        <v>266</v>
      </c>
      <c r="I340" s="5" t="s">
        <v>1064</v>
      </c>
      <c r="J340" s="5" t="str">
        <f t="shared" si="5"/>
        <v>BULK/HOSPITALS</v>
      </c>
    </row>
    <row r="341" spans="1:10" x14ac:dyDescent="0.25">
      <c r="A341" s="5">
        <v>5340</v>
      </c>
      <c r="B341" s="6">
        <v>45818</v>
      </c>
      <c r="C341" s="5" t="s">
        <v>568</v>
      </c>
      <c r="D341" s="5" t="s">
        <v>1535</v>
      </c>
      <c r="E341" s="5">
        <v>5</v>
      </c>
      <c r="F341" s="5" t="s">
        <v>1102</v>
      </c>
      <c r="G341" s="5">
        <v>30</v>
      </c>
      <c r="H341" s="5">
        <v>518.1</v>
      </c>
      <c r="I341" s="5" t="s">
        <v>827</v>
      </c>
      <c r="J341" s="5" t="str">
        <f t="shared" si="5"/>
        <v>BULK/HOSPITALS</v>
      </c>
    </row>
    <row r="342" spans="1:10" x14ac:dyDescent="0.25">
      <c r="A342" s="5">
        <v>5341</v>
      </c>
      <c r="B342" s="6">
        <v>45818</v>
      </c>
      <c r="C342" s="5" t="s">
        <v>569</v>
      </c>
      <c r="D342" s="5" t="s">
        <v>1538</v>
      </c>
      <c r="E342" s="5">
        <v>2</v>
      </c>
      <c r="F342" s="5" t="s">
        <v>1103</v>
      </c>
      <c r="G342" s="5">
        <v>1</v>
      </c>
      <c r="H342" s="5">
        <v>225.94</v>
      </c>
      <c r="I342" s="5" t="s">
        <v>830</v>
      </c>
      <c r="J342" s="5" t="str">
        <f t="shared" si="5"/>
        <v>RETAIL</v>
      </c>
    </row>
    <row r="343" spans="1:10" x14ac:dyDescent="0.25">
      <c r="A343" s="5">
        <v>5342</v>
      </c>
      <c r="B343" s="6">
        <v>45818</v>
      </c>
      <c r="C343" s="5" t="s">
        <v>570</v>
      </c>
      <c r="D343" s="5" t="s">
        <v>1535</v>
      </c>
      <c r="E343" s="5">
        <v>10</v>
      </c>
      <c r="F343" s="5" t="s">
        <v>1104</v>
      </c>
      <c r="G343" s="5">
        <v>300</v>
      </c>
      <c r="H343" s="5">
        <v>610.67999999999995</v>
      </c>
      <c r="I343" s="5" t="s">
        <v>981</v>
      </c>
      <c r="J343" s="5" t="str">
        <f t="shared" si="5"/>
        <v>BULK/HOSPITALS</v>
      </c>
    </row>
    <row r="344" spans="1:10" x14ac:dyDescent="0.25">
      <c r="A344" s="5">
        <v>5343</v>
      </c>
      <c r="B344" s="6">
        <v>45819</v>
      </c>
      <c r="C344" s="5" t="s">
        <v>322</v>
      </c>
      <c r="D344" s="5" t="s">
        <v>1535</v>
      </c>
      <c r="E344" s="5">
        <v>10</v>
      </c>
      <c r="F344" s="5" t="s">
        <v>1105</v>
      </c>
      <c r="G344" s="5">
        <v>150</v>
      </c>
      <c r="H344" s="5">
        <v>1437.52</v>
      </c>
      <c r="I344" s="5" t="s">
        <v>894</v>
      </c>
      <c r="J344" s="5" t="str">
        <f t="shared" si="5"/>
        <v>BULK/HOSPITALS</v>
      </c>
    </row>
    <row r="345" spans="1:10" x14ac:dyDescent="0.25">
      <c r="A345" s="5">
        <v>5344</v>
      </c>
      <c r="B345" s="6">
        <v>45819</v>
      </c>
      <c r="C345" s="5" t="s">
        <v>321</v>
      </c>
      <c r="D345" s="5" t="s">
        <v>1535</v>
      </c>
      <c r="E345" s="5">
        <v>7</v>
      </c>
      <c r="F345" s="5" t="s">
        <v>1106</v>
      </c>
      <c r="G345" s="5">
        <v>60</v>
      </c>
      <c r="H345" s="5">
        <v>652.79999999999995</v>
      </c>
      <c r="I345" s="5" t="s">
        <v>894</v>
      </c>
      <c r="J345" s="5" t="str">
        <f t="shared" si="5"/>
        <v>BULK/HOSPITALS</v>
      </c>
    </row>
    <row r="346" spans="1:10" x14ac:dyDescent="0.25">
      <c r="A346" s="5">
        <v>5345</v>
      </c>
      <c r="B346" s="6">
        <v>45819</v>
      </c>
      <c r="C346" s="5" t="s">
        <v>571</v>
      </c>
      <c r="D346" s="5" t="s">
        <v>1535</v>
      </c>
      <c r="E346" s="5">
        <v>10</v>
      </c>
      <c r="F346" s="5" t="s">
        <v>1107</v>
      </c>
      <c r="G346" s="5">
        <v>240</v>
      </c>
      <c r="H346" s="5">
        <v>3055.92</v>
      </c>
      <c r="I346" s="5" t="s">
        <v>894</v>
      </c>
      <c r="J346" s="5" t="str">
        <f t="shared" si="5"/>
        <v>BULK/HOSPITALS</v>
      </c>
    </row>
    <row r="347" spans="1:10" x14ac:dyDescent="0.25">
      <c r="A347" s="5">
        <v>5346</v>
      </c>
      <c r="B347" s="6">
        <v>45819</v>
      </c>
      <c r="C347" s="5" t="s">
        <v>323</v>
      </c>
      <c r="D347" s="5" t="s">
        <v>1535</v>
      </c>
      <c r="E347" s="5">
        <v>5</v>
      </c>
      <c r="F347" s="5" t="s">
        <v>1108</v>
      </c>
      <c r="G347" s="5">
        <v>20</v>
      </c>
      <c r="H347" s="5">
        <v>451.2</v>
      </c>
      <c r="I347" s="5" t="s">
        <v>1065</v>
      </c>
      <c r="J347" s="5" t="str">
        <f t="shared" si="5"/>
        <v>REGULAR</v>
      </c>
    </row>
    <row r="348" spans="1:10" x14ac:dyDescent="0.25">
      <c r="A348" s="5">
        <v>5347</v>
      </c>
      <c r="B348" s="6">
        <v>45820</v>
      </c>
      <c r="C348" s="5" t="s">
        <v>324</v>
      </c>
      <c r="D348" s="5" t="s">
        <v>1535</v>
      </c>
      <c r="E348" s="5">
        <v>5</v>
      </c>
      <c r="F348" s="5" t="s">
        <v>1109</v>
      </c>
      <c r="G348" s="5">
        <v>30</v>
      </c>
      <c r="H348" s="5">
        <v>479.1</v>
      </c>
      <c r="I348" s="5" t="s">
        <v>1065</v>
      </c>
      <c r="J348" s="5" t="str">
        <f t="shared" si="5"/>
        <v>BULK/HOSPITALS</v>
      </c>
    </row>
    <row r="349" spans="1:10" x14ac:dyDescent="0.25">
      <c r="A349" s="5">
        <v>5348</v>
      </c>
      <c r="B349" s="6">
        <v>45820</v>
      </c>
      <c r="C349" s="5" t="s">
        <v>572</v>
      </c>
      <c r="D349" s="5" t="s">
        <v>1535</v>
      </c>
      <c r="E349" s="5">
        <v>10</v>
      </c>
      <c r="F349" s="5" t="s">
        <v>1110</v>
      </c>
      <c r="G349" s="5">
        <v>300</v>
      </c>
      <c r="H349" s="5">
        <v>3102.36</v>
      </c>
      <c r="I349" s="5" t="s">
        <v>1066</v>
      </c>
      <c r="J349" s="5" t="str">
        <f t="shared" si="5"/>
        <v>BULK/HOSPITALS</v>
      </c>
    </row>
    <row r="350" spans="1:10" x14ac:dyDescent="0.25">
      <c r="A350" s="5">
        <v>5349</v>
      </c>
      <c r="B350" s="6">
        <v>45820</v>
      </c>
      <c r="C350" s="5" t="s">
        <v>573</v>
      </c>
      <c r="D350" s="5" t="s">
        <v>1538</v>
      </c>
      <c r="E350" s="5">
        <v>10</v>
      </c>
      <c r="F350" s="5" t="s">
        <v>1111</v>
      </c>
      <c r="G350" s="5">
        <v>100</v>
      </c>
      <c r="H350" s="5">
        <v>1500</v>
      </c>
      <c r="I350" s="5" t="s">
        <v>1067</v>
      </c>
      <c r="J350" s="5" t="str">
        <f t="shared" si="5"/>
        <v>BULK/HOSPITALS</v>
      </c>
    </row>
    <row r="351" spans="1:10" x14ac:dyDescent="0.25">
      <c r="A351" s="5">
        <v>5350</v>
      </c>
      <c r="B351" s="6">
        <v>45820</v>
      </c>
      <c r="C351" s="5" t="s">
        <v>325</v>
      </c>
      <c r="D351" s="5" t="s">
        <v>1535</v>
      </c>
      <c r="E351" s="5">
        <v>7</v>
      </c>
      <c r="F351" s="5" t="s">
        <v>1112</v>
      </c>
      <c r="G351" s="5">
        <v>90</v>
      </c>
      <c r="H351" s="5">
        <v>183.15</v>
      </c>
      <c r="I351" s="5" t="s">
        <v>981</v>
      </c>
      <c r="J351" s="5" t="str">
        <f t="shared" si="5"/>
        <v>BULK/HOSPITALS</v>
      </c>
    </row>
    <row r="352" spans="1:10" x14ac:dyDescent="0.25">
      <c r="A352" s="5">
        <v>5351</v>
      </c>
      <c r="B352" s="6">
        <v>45820</v>
      </c>
      <c r="C352" s="5" t="s">
        <v>326</v>
      </c>
      <c r="D352" s="5" t="s">
        <v>1538</v>
      </c>
      <c r="E352" s="5">
        <v>2</v>
      </c>
      <c r="F352" s="5" t="s">
        <v>1113</v>
      </c>
      <c r="G352" s="5">
        <v>1</v>
      </c>
      <c r="H352" s="5">
        <v>85</v>
      </c>
      <c r="I352" s="5" t="s">
        <v>1068</v>
      </c>
      <c r="J352" s="5" t="str">
        <f t="shared" si="5"/>
        <v>RETAIL</v>
      </c>
    </row>
    <row r="353" spans="1:10" x14ac:dyDescent="0.25">
      <c r="A353" s="5">
        <v>5352</v>
      </c>
      <c r="B353" s="6">
        <v>45821</v>
      </c>
      <c r="C353" s="5" t="s">
        <v>327</v>
      </c>
      <c r="D353" s="5" t="s">
        <v>1536</v>
      </c>
      <c r="E353" s="5">
        <v>2</v>
      </c>
      <c r="F353" s="5" t="s">
        <v>1114</v>
      </c>
      <c r="G353" s="5">
        <v>1</v>
      </c>
      <c r="H353" s="5">
        <v>128</v>
      </c>
      <c r="I353" s="5" t="s">
        <v>1069</v>
      </c>
      <c r="J353" s="5" t="str">
        <f t="shared" si="5"/>
        <v>RETAIL</v>
      </c>
    </row>
    <row r="354" spans="1:10" x14ac:dyDescent="0.25">
      <c r="A354" s="5">
        <v>5353</v>
      </c>
      <c r="B354" s="6">
        <v>45821</v>
      </c>
      <c r="C354" s="5" t="s">
        <v>574</v>
      </c>
      <c r="D354" s="5" t="s">
        <v>1536</v>
      </c>
      <c r="E354" s="5">
        <v>2</v>
      </c>
      <c r="F354" s="5" t="s">
        <v>1115</v>
      </c>
      <c r="G354" s="5">
        <v>6</v>
      </c>
      <c r="H354" s="5">
        <v>914.52</v>
      </c>
      <c r="I354" s="5" t="s">
        <v>1069</v>
      </c>
      <c r="J354" s="5" t="str">
        <f t="shared" si="5"/>
        <v>REGULAR</v>
      </c>
    </row>
    <row r="355" spans="1:10" x14ac:dyDescent="0.25">
      <c r="A355" s="5">
        <v>5354</v>
      </c>
      <c r="B355" s="6">
        <v>45821</v>
      </c>
      <c r="C355" s="5" t="s">
        <v>328</v>
      </c>
      <c r="D355" s="5" t="s">
        <v>1536</v>
      </c>
      <c r="E355" s="5">
        <v>5</v>
      </c>
      <c r="F355" s="5" t="s">
        <v>1116</v>
      </c>
      <c r="G355" s="5">
        <v>14</v>
      </c>
      <c r="H355" s="5">
        <v>1863.99</v>
      </c>
      <c r="I355" s="5" t="s">
        <v>1069</v>
      </c>
      <c r="J355" s="5" t="str">
        <f t="shared" si="5"/>
        <v>REGULAR</v>
      </c>
    </row>
    <row r="356" spans="1:10" x14ac:dyDescent="0.25">
      <c r="A356" s="5">
        <v>5355</v>
      </c>
      <c r="B356" s="6">
        <v>45822</v>
      </c>
      <c r="C356" s="5" t="s">
        <v>329</v>
      </c>
      <c r="D356" s="5" t="s">
        <v>1536</v>
      </c>
      <c r="E356" s="5">
        <v>5</v>
      </c>
      <c r="F356" s="5" t="s">
        <v>1117</v>
      </c>
      <c r="G356" s="5">
        <v>15</v>
      </c>
      <c r="H356" s="5">
        <v>2129.25</v>
      </c>
      <c r="I356" s="5" t="s">
        <v>1069</v>
      </c>
      <c r="J356" s="5" t="str">
        <f t="shared" si="5"/>
        <v>REGULAR</v>
      </c>
    </row>
    <row r="357" spans="1:10" x14ac:dyDescent="0.25">
      <c r="A357" s="5">
        <v>5356</v>
      </c>
      <c r="B357" s="6">
        <v>45822</v>
      </c>
      <c r="C357" s="5" t="s">
        <v>330</v>
      </c>
      <c r="D357" s="5" t="s">
        <v>1538</v>
      </c>
      <c r="E357" s="5">
        <v>2</v>
      </c>
      <c r="F357" s="5" t="s">
        <v>1118</v>
      </c>
      <c r="G357" s="5">
        <v>2</v>
      </c>
      <c r="H357" s="5">
        <v>160</v>
      </c>
      <c r="I357" s="5" t="s">
        <v>975</v>
      </c>
      <c r="J357" s="5" t="str">
        <f t="shared" si="5"/>
        <v>RETAIL</v>
      </c>
    </row>
    <row r="358" spans="1:10" x14ac:dyDescent="0.25">
      <c r="A358" s="5">
        <v>5357</v>
      </c>
      <c r="B358" s="6">
        <v>45822</v>
      </c>
      <c r="C358" s="5" t="s">
        <v>331</v>
      </c>
      <c r="D358" s="5" t="s">
        <v>1535</v>
      </c>
      <c r="E358" s="5">
        <v>5</v>
      </c>
      <c r="F358" s="5" t="s">
        <v>1119</v>
      </c>
      <c r="G358" s="5">
        <v>36</v>
      </c>
      <c r="H358" s="5">
        <v>713.92</v>
      </c>
      <c r="I358" s="5" t="s">
        <v>828</v>
      </c>
      <c r="J358" s="5" t="str">
        <f t="shared" si="5"/>
        <v>BULK/HOSPITALS</v>
      </c>
    </row>
    <row r="359" spans="1:10" x14ac:dyDescent="0.25">
      <c r="A359" s="5">
        <v>5358</v>
      </c>
      <c r="B359" s="6">
        <v>45822</v>
      </c>
      <c r="C359" s="5" t="s">
        <v>332</v>
      </c>
      <c r="D359" s="5" t="s">
        <v>1538</v>
      </c>
      <c r="E359" s="5">
        <v>2</v>
      </c>
      <c r="F359" s="5" t="s">
        <v>1120</v>
      </c>
      <c r="G359" s="5">
        <v>1</v>
      </c>
      <c r="H359" s="5">
        <v>88</v>
      </c>
      <c r="I359" s="5" t="s">
        <v>1070</v>
      </c>
      <c r="J359" s="5" t="str">
        <f t="shared" si="5"/>
        <v>RETAIL</v>
      </c>
    </row>
    <row r="360" spans="1:10" x14ac:dyDescent="0.25">
      <c r="A360" s="5">
        <v>5359</v>
      </c>
      <c r="B360" s="6">
        <v>45823</v>
      </c>
      <c r="C360" s="5" t="s">
        <v>575</v>
      </c>
      <c r="D360" s="5" t="s">
        <v>1538</v>
      </c>
      <c r="E360" s="5">
        <v>2</v>
      </c>
      <c r="F360" s="5" t="s">
        <v>1121</v>
      </c>
      <c r="G360" s="5">
        <v>6</v>
      </c>
      <c r="H360" s="5">
        <v>2975</v>
      </c>
      <c r="I360" s="5" t="s">
        <v>1071</v>
      </c>
      <c r="J360" s="5" t="str">
        <f t="shared" si="5"/>
        <v>REGULAR</v>
      </c>
    </row>
    <row r="361" spans="1:10" x14ac:dyDescent="0.25">
      <c r="A361" s="5">
        <v>5360</v>
      </c>
      <c r="B361" s="6">
        <v>45823</v>
      </c>
      <c r="C361" s="5" t="s">
        <v>576</v>
      </c>
      <c r="D361" s="5" t="s">
        <v>1538</v>
      </c>
      <c r="E361" s="5">
        <v>2</v>
      </c>
      <c r="F361" s="5" t="s">
        <v>1122</v>
      </c>
      <c r="G361" s="5">
        <v>1</v>
      </c>
      <c r="H361" s="5">
        <v>500</v>
      </c>
      <c r="I361" s="5" t="s">
        <v>1071</v>
      </c>
      <c r="J361" s="5" t="str">
        <f t="shared" si="5"/>
        <v>RETAIL</v>
      </c>
    </row>
    <row r="362" spans="1:10" x14ac:dyDescent="0.25">
      <c r="A362" s="5">
        <v>5361</v>
      </c>
      <c r="B362" s="6">
        <v>45823</v>
      </c>
      <c r="C362" s="5" t="s">
        <v>577</v>
      </c>
      <c r="D362" s="5" t="s">
        <v>1538</v>
      </c>
      <c r="E362" s="5">
        <v>2</v>
      </c>
      <c r="F362" s="5" t="s">
        <v>1123</v>
      </c>
      <c r="G362" s="5">
        <v>1</v>
      </c>
      <c r="H362" s="5">
        <v>500</v>
      </c>
      <c r="I362" s="5" t="s">
        <v>1071</v>
      </c>
      <c r="J362" s="5" t="str">
        <f t="shared" si="5"/>
        <v>RETAIL</v>
      </c>
    </row>
    <row r="363" spans="1:10" x14ac:dyDescent="0.25">
      <c r="A363" s="5">
        <v>5362</v>
      </c>
      <c r="B363" s="6">
        <v>45823</v>
      </c>
      <c r="C363" s="5" t="s">
        <v>578</v>
      </c>
      <c r="D363" s="5" t="s">
        <v>1538</v>
      </c>
      <c r="E363" s="5">
        <v>2</v>
      </c>
      <c r="F363" s="5" t="s">
        <v>1124</v>
      </c>
      <c r="G363" s="5">
        <v>1</v>
      </c>
      <c r="H363" s="5">
        <v>70</v>
      </c>
      <c r="I363" s="5" t="s">
        <v>1072</v>
      </c>
      <c r="J363" s="5" t="str">
        <f t="shared" si="5"/>
        <v>RETAIL</v>
      </c>
    </row>
    <row r="364" spans="1:10" x14ac:dyDescent="0.25">
      <c r="A364" s="5">
        <v>5363</v>
      </c>
      <c r="B364" s="6">
        <v>45823</v>
      </c>
      <c r="C364" s="5" t="s">
        <v>579</v>
      </c>
      <c r="D364" s="5" t="s">
        <v>1538</v>
      </c>
      <c r="E364" s="5">
        <v>5</v>
      </c>
      <c r="F364" s="5" t="s">
        <v>1125</v>
      </c>
      <c r="G364" s="5">
        <v>40</v>
      </c>
      <c r="H364" s="5">
        <v>100</v>
      </c>
      <c r="I364" s="5" t="s">
        <v>1171</v>
      </c>
      <c r="J364" s="5" t="str">
        <f t="shared" si="5"/>
        <v>BULK/HOSPITALS</v>
      </c>
    </row>
    <row r="365" spans="1:10" x14ac:dyDescent="0.25">
      <c r="A365" s="5">
        <v>5364</v>
      </c>
      <c r="B365" s="6">
        <v>45824</v>
      </c>
      <c r="C365" s="5" t="s">
        <v>580</v>
      </c>
      <c r="D365" s="5" t="s">
        <v>1538</v>
      </c>
      <c r="E365" s="5">
        <v>10</v>
      </c>
      <c r="F365" s="5" t="s">
        <v>1125</v>
      </c>
      <c r="G365" s="5">
        <v>340</v>
      </c>
      <c r="H365" s="5">
        <v>850</v>
      </c>
      <c r="I365" s="5" t="s">
        <v>1190</v>
      </c>
      <c r="J365" s="5" t="str">
        <f t="shared" si="5"/>
        <v>BULK/HOSPITALS</v>
      </c>
    </row>
    <row r="366" spans="1:10" x14ac:dyDescent="0.25">
      <c r="A366" s="5">
        <v>5365</v>
      </c>
      <c r="B366" s="6">
        <v>45824</v>
      </c>
      <c r="C366" s="5" t="s">
        <v>581</v>
      </c>
      <c r="D366" s="5" t="s">
        <v>1538</v>
      </c>
      <c r="E366" s="5">
        <v>5</v>
      </c>
      <c r="F366" s="5" t="s">
        <v>1125</v>
      </c>
      <c r="G366" s="5">
        <v>18</v>
      </c>
      <c r="H366" s="5">
        <v>45</v>
      </c>
      <c r="I366" s="5" t="s">
        <v>1191</v>
      </c>
      <c r="J366" s="5" t="str">
        <f t="shared" si="5"/>
        <v>REGULAR</v>
      </c>
    </row>
    <row r="367" spans="1:10" x14ac:dyDescent="0.25">
      <c r="A367" s="5">
        <v>5366</v>
      </c>
      <c r="B367" s="6">
        <v>45824</v>
      </c>
      <c r="C367" s="5" t="s">
        <v>582</v>
      </c>
      <c r="D367" s="5" t="s">
        <v>1538</v>
      </c>
      <c r="E367" s="5">
        <v>7</v>
      </c>
      <c r="F367" s="5" t="s">
        <v>775</v>
      </c>
      <c r="G367" s="5">
        <v>60</v>
      </c>
      <c r="H367" s="5">
        <v>180</v>
      </c>
      <c r="I367" s="5" t="s">
        <v>1171</v>
      </c>
      <c r="J367" s="5" t="str">
        <f t="shared" si="5"/>
        <v>BULK/HOSPITALS</v>
      </c>
    </row>
    <row r="368" spans="1:10" x14ac:dyDescent="0.25">
      <c r="A368" s="5">
        <v>5367</v>
      </c>
      <c r="B368" s="6">
        <v>45825</v>
      </c>
      <c r="C368" s="5" t="s">
        <v>583</v>
      </c>
      <c r="D368" s="5" t="s">
        <v>1538</v>
      </c>
      <c r="E368" s="5">
        <v>5</v>
      </c>
      <c r="F368" s="5" t="s">
        <v>775</v>
      </c>
      <c r="G368" s="5">
        <v>27</v>
      </c>
      <c r="H368" s="5">
        <v>81</v>
      </c>
      <c r="I368" s="5" t="s">
        <v>1192</v>
      </c>
      <c r="J368" s="5" t="str">
        <f t="shared" si="5"/>
        <v>BULK/HOSPITALS</v>
      </c>
    </row>
    <row r="369" spans="1:10" x14ac:dyDescent="0.25">
      <c r="A369" s="5">
        <v>5368</v>
      </c>
      <c r="B369" s="6">
        <v>45825</v>
      </c>
      <c r="C369" s="5" t="s">
        <v>584</v>
      </c>
      <c r="D369" s="5" t="s">
        <v>1538</v>
      </c>
      <c r="E369" s="5">
        <v>10</v>
      </c>
      <c r="F369" s="5" t="s">
        <v>1126</v>
      </c>
      <c r="G369" s="5">
        <v>130</v>
      </c>
      <c r="H369" s="5">
        <v>390</v>
      </c>
      <c r="I369" s="5" t="s">
        <v>1192</v>
      </c>
      <c r="J369" s="5" t="str">
        <f t="shared" si="5"/>
        <v>BULK/HOSPITALS</v>
      </c>
    </row>
    <row r="370" spans="1:10" x14ac:dyDescent="0.25">
      <c r="A370" s="5">
        <v>5369</v>
      </c>
      <c r="B370" s="6">
        <v>45825</v>
      </c>
      <c r="C370" s="5" t="s">
        <v>585</v>
      </c>
      <c r="D370" s="5" t="s">
        <v>1538</v>
      </c>
      <c r="E370" s="5">
        <v>2</v>
      </c>
      <c r="F370" s="5" t="s">
        <v>1127</v>
      </c>
      <c r="G370" s="5">
        <v>2</v>
      </c>
      <c r="H370" s="5">
        <v>640</v>
      </c>
      <c r="I370" s="5" t="s">
        <v>1193</v>
      </c>
      <c r="J370" s="5" t="str">
        <f t="shared" si="5"/>
        <v>RETAIL</v>
      </c>
    </row>
    <row r="371" spans="1:10" x14ac:dyDescent="0.25">
      <c r="A371" s="5">
        <v>5370</v>
      </c>
      <c r="B371" s="6">
        <v>45825</v>
      </c>
      <c r="C371" s="5" t="s">
        <v>586</v>
      </c>
      <c r="D371" s="5" t="s">
        <v>1538</v>
      </c>
      <c r="E371" s="5">
        <v>5</v>
      </c>
      <c r="F371" s="5" t="s">
        <v>1128</v>
      </c>
      <c r="G371" s="5">
        <v>18</v>
      </c>
      <c r="H371" s="5">
        <v>6035</v>
      </c>
      <c r="I371" s="5" t="s">
        <v>953</v>
      </c>
      <c r="J371" s="5" t="str">
        <f t="shared" si="5"/>
        <v>REGULAR</v>
      </c>
    </row>
    <row r="372" spans="1:10" x14ac:dyDescent="0.25">
      <c r="A372" s="5">
        <v>5371</v>
      </c>
      <c r="B372" s="6">
        <v>45826</v>
      </c>
      <c r="C372" s="5" t="s">
        <v>587</v>
      </c>
      <c r="D372" s="5" t="s">
        <v>1538</v>
      </c>
      <c r="E372" s="5">
        <v>2</v>
      </c>
      <c r="F372" s="5" t="s">
        <v>1129</v>
      </c>
      <c r="G372" s="5">
        <v>4</v>
      </c>
      <c r="H372" s="5">
        <v>1492.52</v>
      </c>
      <c r="I372" s="5" t="s">
        <v>1193</v>
      </c>
      <c r="J372" s="5" t="str">
        <f t="shared" si="5"/>
        <v>REGULAR</v>
      </c>
    </row>
    <row r="373" spans="1:10" x14ac:dyDescent="0.25">
      <c r="A373" s="5">
        <v>5372</v>
      </c>
      <c r="B373" s="6">
        <v>45826</v>
      </c>
      <c r="C373" s="5" t="s">
        <v>588</v>
      </c>
      <c r="D373" s="5" t="s">
        <v>1535</v>
      </c>
      <c r="E373" s="5">
        <v>10</v>
      </c>
      <c r="F373" s="5" t="s">
        <v>1130</v>
      </c>
      <c r="G373" s="5">
        <v>392</v>
      </c>
      <c r="H373" s="5">
        <v>2943.06</v>
      </c>
      <c r="I373" s="5" t="s">
        <v>1173</v>
      </c>
      <c r="J373" s="5" t="str">
        <f t="shared" si="5"/>
        <v>BULK/HOSPITALS</v>
      </c>
    </row>
    <row r="374" spans="1:10" x14ac:dyDescent="0.25">
      <c r="A374" s="5">
        <v>5373</v>
      </c>
      <c r="B374" s="6">
        <v>45826</v>
      </c>
      <c r="C374" s="5" t="s">
        <v>589</v>
      </c>
      <c r="D374" s="5" t="s">
        <v>1538</v>
      </c>
      <c r="E374" s="5">
        <v>2</v>
      </c>
      <c r="F374" s="5" t="s">
        <v>1131</v>
      </c>
      <c r="G374" s="5">
        <v>1</v>
      </c>
      <c r="H374" s="5">
        <v>340</v>
      </c>
      <c r="I374" s="5" t="s">
        <v>1194</v>
      </c>
      <c r="J374" s="5" t="str">
        <f t="shared" si="5"/>
        <v>RETAIL</v>
      </c>
    </row>
    <row r="375" spans="1:10" x14ac:dyDescent="0.25">
      <c r="A375" s="5">
        <v>5374</v>
      </c>
      <c r="B375" s="6">
        <v>45826</v>
      </c>
      <c r="C375" s="5" t="s">
        <v>590</v>
      </c>
      <c r="D375" s="5" t="s">
        <v>1538</v>
      </c>
      <c r="E375" s="5">
        <v>2</v>
      </c>
      <c r="F375" s="5" t="s">
        <v>1132</v>
      </c>
      <c r="G375" s="5">
        <v>1</v>
      </c>
      <c r="H375" s="5">
        <v>160</v>
      </c>
      <c r="I375" s="5" t="s">
        <v>1172</v>
      </c>
      <c r="J375" s="5" t="str">
        <f t="shared" si="5"/>
        <v>RETAIL</v>
      </c>
    </row>
    <row r="376" spans="1:10" x14ac:dyDescent="0.25">
      <c r="A376" s="5">
        <v>5375</v>
      </c>
      <c r="B376" s="6">
        <v>45826</v>
      </c>
      <c r="C376" s="5" t="s">
        <v>591</v>
      </c>
      <c r="D376" s="5" t="s">
        <v>1538</v>
      </c>
      <c r="E376" s="5">
        <v>2</v>
      </c>
      <c r="F376" s="5" t="s">
        <v>1133</v>
      </c>
      <c r="G376" s="5">
        <v>2</v>
      </c>
      <c r="H376" s="5">
        <v>128</v>
      </c>
      <c r="I376" s="5" t="s">
        <v>1172</v>
      </c>
      <c r="J376" s="5" t="str">
        <f t="shared" si="5"/>
        <v>RETAIL</v>
      </c>
    </row>
    <row r="377" spans="1:10" x14ac:dyDescent="0.25">
      <c r="A377" s="5">
        <v>5376</v>
      </c>
      <c r="B377" s="6">
        <v>45827</v>
      </c>
      <c r="C377" s="5" t="s">
        <v>333</v>
      </c>
      <c r="D377" s="5" t="s">
        <v>1538</v>
      </c>
      <c r="E377" s="5">
        <v>5</v>
      </c>
      <c r="F377" s="5" t="s">
        <v>1134</v>
      </c>
      <c r="G377" s="5">
        <v>22</v>
      </c>
      <c r="H377" s="5">
        <v>880</v>
      </c>
      <c r="I377" s="5" t="s">
        <v>1172</v>
      </c>
      <c r="J377" s="5" t="str">
        <f t="shared" si="5"/>
        <v>BULK/HOSPITALS</v>
      </c>
    </row>
    <row r="378" spans="1:10" x14ac:dyDescent="0.25">
      <c r="A378" s="5">
        <v>5377</v>
      </c>
      <c r="B378" s="6">
        <v>45827</v>
      </c>
      <c r="C378" s="5" t="s">
        <v>592</v>
      </c>
      <c r="D378" s="5" t="s">
        <v>1538</v>
      </c>
      <c r="E378" s="5">
        <v>2</v>
      </c>
      <c r="F378" s="5" t="s">
        <v>1135</v>
      </c>
      <c r="G378" s="5">
        <v>1</v>
      </c>
      <c r="H378" s="5">
        <v>100</v>
      </c>
      <c r="I378" s="5" t="s">
        <v>1172</v>
      </c>
      <c r="J378" s="5" t="str">
        <f t="shared" si="5"/>
        <v>RETAIL</v>
      </c>
    </row>
    <row r="379" spans="1:10" x14ac:dyDescent="0.25">
      <c r="A379" s="5">
        <v>5378</v>
      </c>
      <c r="B379" s="6">
        <v>45827</v>
      </c>
      <c r="C379" s="5" t="s">
        <v>593</v>
      </c>
      <c r="D379" s="5" t="s">
        <v>1538</v>
      </c>
      <c r="E379" s="5">
        <v>2</v>
      </c>
      <c r="F379" s="5" t="s">
        <v>1136</v>
      </c>
      <c r="G379" s="5">
        <v>5</v>
      </c>
      <c r="H379" s="5">
        <v>2245</v>
      </c>
      <c r="I379" s="5" t="s">
        <v>1172</v>
      </c>
      <c r="J379" s="5" t="str">
        <f t="shared" si="5"/>
        <v>REGULAR</v>
      </c>
    </row>
    <row r="380" spans="1:10" x14ac:dyDescent="0.25">
      <c r="A380" s="5">
        <v>5379</v>
      </c>
      <c r="B380" s="6">
        <v>45828</v>
      </c>
      <c r="C380" s="5" t="s">
        <v>594</v>
      </c>
      <c r="D380" s="5" t="s">
        <v>1538</v>
      </c>
      <c r="E380" s="5">
        <v>2</v>
      </c>
      <c r="F380" s="5" t="s">
        <v>1137</v>
      </c>
      <c r="G380" s="5">
        <v>2</v>
      </c>
      <c r="H380" s="5">
        <v>109</v>
      </c>
      <c r="I380" s="5" t="s">
        <v>1172</v>
      </c>
      <c r="J380" s="5" t="str">
        <f t="shared" si="5"/>
        <v>RETAIL</v>
      </c>
    </row>
    <row r="381" spans="1:10" x14ac:dyDescent="0.25">
      <c r="A381" s="5">
        <v>5380</v>
      </c>
      <c r="B381" s="6">
        <v>45828</v>
      </c>
      <c r="C381" s="5" t="s">
        <v>595</v>
      </c>
      <c r="D381" s="5" t="s">
        <v>1538</v>
      </c>
      <c r="E381" s="5">
        <v>2</v>
      </c>
      <c r="F381" s="5" t="s">
        <v>1138</v>
      </c>
      <c r="G381" s="5">
        <v>3</v>
      </c>
      <c r="H381" s="5">
        <v>340</v>
      </c>
      <c r="I381" s="5" t="s">
        <v>1195</v>
      </c>
      <c r="J381" s="5" t="str">
        <f t="shared" si="5"/>
        <v>REGULAR</v>
      </c>
    </row>
    <row r="382" spans="1:10" x14ac:dyDescent="0.25">
      <c r="A382" s="5">
        <v>5381</v>
      </c>
      <c r="B382" s="6">
        <v>45828</v>
      </c>
      <c r="C382" s="5" t="s">
        <v>596</v>
      </c>
      <c r="D382" s="5" t="s">
        <v>1535</v>
      </c>
      <c r="E382" s="5">
        <v>5</v>
      </c>
      <c r="F382" s="5" t="s">
        <v>1139</v>
      </c>
      <c r="G382" s="5">
        <v>10</v>
      </c>
      <c r="H382" s="5">
        <v>154.69</v>
      </c>
      <c r="I382" s="5" t="s">
        <v>1196</v>
      </c>
      <c r="J382" s="5" t="str">
        <f t="shared" si="5"/>
        <v>REGULAR</v>
      </c>
    </row>
    <row r="383" spans="1:10" x14ac:dyDescent="0.25">
      <c r="A383" s="5">
        <v>5382</v>
      </c>
      <c r="B383" s="6">
        <v>45828</v>
      </c>
      <c r="C383" s="5" t="s">
        <v>597</v>
      </c>
      <c r="D383" s="5" t="s">
        <v>1539</v>
      </c>
      <c r="E383" s="5">
        <v>2</v>
      </c>
      <c r="F383" s="5" t="s">
        <v>1140</v>
      </c>
      <c r="G383" s="5">
        <v>2</v>
      </c>
      <c r="H383" s="5">
        <v>356.58</v>
      </c>
      <c r="I383" s="5" t="s">
        <v>1174</v>
      </c>
      <c r="J383" s="5" t="str">
        <f t="shared" si="5"/>
        <v>RETAIL</v>
      </c>
    </row>
    <row r="384" spans="1:10" x14ac:dyDescent="0.25">
      <c r="A384" s="5">
        <v>5383</v>
      </c>
      <c r="B384" s="6">
        <v>45829</v>
      </c>
      <c r="C384" s="5" t="s">
        <v>598</v>
      </c>
      <c r="D384" s="5" t="s">
        <v>1538</v>
      </c>
      <c r="E384" s="5">
        <v>5</v>
      </c>
      <c r="F384" s="5" t="s">
        <v>1141</v>
      </c>
      <c r="G384" s="5">
        <v>20</v>
      </c>
      <c r="H384" s="5">
        <v>790</v>
      </c>
      <c r="I384" s="5" t="s">
        <v>1175</v>
      </c>
      <c r="J384" s="5" t="str">
        <f t="shared" si="5"/>
        <v>REGULAR</v>
      </c>
    </row>
    <row r="385" spans="1:10" x14ac:dyDescent="0.25">
      <c r="A385" s="5">
        <v>5384</v>
      </c>
      <c r="B385" s="6">
        <v>45829</v>
      </c>
      <c r="C385" s="5" t="s">
        <v>599</v>
      </c>
      <c r="D385" s="5" t="s">
        <v>1538</v>
      </c>
      <c r="E385" s="5">
        <v>2</v>
      </c>
      <c r="F385" s="5" t="s">
        <v>1142</v>
      </c>
      <c r="G385" s="5">
        <v>3</v>
      </c>
      <c r="H385" s="5">
        <v>180</v>
      </c>
      <c r="I385" s="5" t="s">
        <v>883</v>
      </c>
      <c r="J385" s="5" t="str">
        <f t="shared" si="5"/>
        <v>REGULAR</v>
      </c>
    </row>
    <row r="386" spans="1:10" x14ac:dyDescent="0.25">
      <c r="A386" s="5">
        <v>5385</v>
      </c>
      <c r="B386" s="6">
        <v>45829</v>
      </c>
      <c r="C386" s="5" t="s">
        <v>600</v>
      </c>
      <c r="D386" s="5" t="s">
        <v>1538</v>
      </c>
      <c r="E386" s="5">
        <v>2</v>
      </c>
      <c r="F386" s="5" t="s">
        <v>1143</v>
      </c>
      <c r="G386" s="5">
        <v>2</v>
      </c>
      <c r="H386" s="5">
        <v>588.78</v>
      </c>
      <c r="I386" s="5" t="s">
        <v>1197</v>
      </c>
      <c r="J386" s="5" t="str">
        <f t="shared" si="5"/>
        <v>RETAIL</v>
      </c>
    </row>
    <row r="387" spans="1:10" x14ac:dyDescent="0.25">
      <c r="A387" s="5">
        <v>5386</v>
      </c>
      <c r="B387" s="6">
        <v>45829</v>
      </c>
      <c r="C387" s="5" t="s">
        <v>601</v>
      </c>
      <c r="D387" s="5" t="s">
        <v>1538</v>
      </c>
      <c r="E387" s="5">
        <v>2</v>
      </c>
      <c r="F387" s="5" t="s">
        <v>1144</v>
      </c>
      <c r="G387" s="5">
        <v>1</v>
      </c>
      <c r="H387" s="5">
        <v>60</v>
      </c>
      <c r="I387" s="5" t="s">
        <v>1176</v>
      </c>
      <c r="J387" s="5" t="str">
        <f t="shared" ref="J387:J450" si="6">IF(G387&lt;=2,"RETAIL",IF(G387&lt;=20,"REGULAR",IF(G387&gt;20,"BULK/HOSPITALS")))</f>
        <v>RETAIL</v>
      </c>
    </row>
    <row r="388" spans="1:10" x14ac:dyDescent="0.25">
      <c r="A388" s="5">
        <v>5387</v>
      </c>
      <c r="B388" s="6">
        <v>45829</v>
      </c>
      <c r="C388" s="5" t="s">
        <v>602</v>
      </c>
      <c r="D388" s="5" t="s">
        <v>1535</v>
      </c>
      <c r="E388" s="5">
        <v>7</v>
      </c>
      <c r="F388" s="5" t="s">
        <v>1145</v>
      </c>
      <c r="G388" s="5">
        <v>60</v>
      </c>
      <c r="H388" s="5">
        <v>142.19999999999999</v>
      </c>
      <c r="I388" s="5" t="s">
        <v>961</v>
      </c>
      <c r="J388" s="5" t="str">
        <f t="shared" si="6"/>
        <v>BULK/HOSPITALS</v>
      </c>
    </row>
    <row r="389" spans="1:10" x14ac:dyDescent="0.25">
      <c r="A389" s="5">
        <v>5388</v>
      </c>
      <c r="B389" s="6">
        <v>45830</v>
      </c>
      <c r="C389" s="5" t="s">
        <v>603</v>
      </c>
      <c r="D389" s="5" t="s">
        <v>1538</v>
      </c>
      <c r="E389" s="5">
        <v>5</v>
      </c>
      <c r="F389" s="5" t="s">
        <v>1146</v>
      </c>
      <c r="G389" s="5">
        <v>10</v>
      </c>
      <c r="H389" s="5">
        <v>68.48</v>
      </c>
      <c r="I389" s="5" t="s">
        <v>1177</v>
      </c>
      <c r="J389" s="5" t="str">
        <f t="shared" si="6"/>
        <v>REGULAR</v>
      </c>
    </row>
    <row r="390" spans="1:10" x14ac:dyDescent="0.25">
      <c r="A390" s="5">
        <v>5389</v>
      </c>
      <c r="B390" s="6">
        <v>45830</v>
      </c>
      <c r="C390" s="5" t="s">
        <v>604</v>
      </c>
      <c r="D390" s="5" t="s">
        <v>1538</v>
      </c>
      <c r="E390" s="5">
        <v>5</v>
      </c>
      <c r="F390" s="5" t="s">
        <v>1147</v>
      </c>
      <c r="G390" s="5">
        <v>11</v>
      </c>
      <c r="H390" s="5">
        <v>5526</v>
      </c>
      <c r="I390" s="5" t="s">
        <v>1198</v>
      </c>
      <c r="J390" s="5" t="str">
        <f t="shared" si="6"/>
        <v>REGULAR</v>
      </c>
    </row>
    <row r="391" spans="1:10" x14ac:dyDescent="0.25">
      <c r="A391" s="5">
        <v>5390</v>
      </c>
      <c r="B391" s="6">
        <v>45830</v>
      </c>
      <c r="C391" s="5" t="s">
        <v>605</v>
      </c>
      <c r="D391" s="5" t="s">
        <v>1538</v>
      </c>
      <c r="E391" s="5">
        <v>2</v>
      </c>
      <c r="F391" s="5" t="s">
        <v>1148</v>
      </c>
      <c r="G391" s="5">
        <v>4</v>
      </c>
      <c r="H391" s="5">
        <v>1196</v>
      </c>
      <c r="I391" s="5" t="s">
        <v>1199</v>
      </c>
      <c r="J391" s="5" t="str">
        <f t="shared" si="6"/>
        <v>REGULAR</v>
      </c>
    </row>
    <row r="392" spans="1:10" x14ac:dyDescent="0.25">
      <c r="A392" s="5">
        <v>5391</v>
      </c>
      <c r="B392" s="6">
        <v>45831</v>
      </c>
      <c r="C392" s="5" t="s">
        <v>606</v>
      </c>
      <c r="D392" s="5" t="s">
        <v>1538</v>
      </c>
      <c r="E392" s="5">
        <v>2</v>
      </c>
      <c r="F392" s="5" t="s">
        <v>1149</v>
      </c>
      <c r="G392" s="5">
        <v>1</v>
      </c>
      <c r="H392" s="5">
        <v>153</v>
      </c>
      <c r="I392" s="5" t="s">
        <v>1199</v>
      </c>
      <c r="J392" s="5" t="str">
        <f t="shared" si="6"/>
        <v>RETAIL</v>
      </c>
    </row>
    <row r="393" spans="1:10" x14ac:dyDescent="0.25">
      <c r="A393" s="5">
        <v>5392</v>
      </c>
      <c r="B393" s="6">
        <v>45831</v>
      </c>
      <c r="C393" s="5" t="s">
        <v>607</v>
      </c>
      <c r="D393" s="5" t="s">
        <v>1538</v>
      </c>
      <c r="E393" s="5">
        <v>5</v>
      </c>
      <c r="F393" s="5" t="s">
        <v>1150</v>
      </c>
      <c r="G393" s="5">
        <v>17</v>
      </c>
      <c r="H393" s="5">
        <v>1584</v>
      </c>
      <c r="I393" s="5" t="s">
        <v>1178</v>
      </c>
      <c r="J393" s="5" t="str">
        <f t="shared" si="6"/>
        <v>REGULAR</v>
      </c>
    </row>
    <row r="394" spans="1:10" x14ac:dyDescent="0.25">
      <c r="A394" s="5">
        <v>5393</v>
      </c>
      <c r="B394" s="6">
        <v>45831</v>
      </c>
      <c r="C394" s="5" t="s">
        <v>608</v>
      </c>
      <c r="D394" s="5" t="s">
        <v>1538</v>
      </c>
      <c r="E394" s="5">
        <v>2</v>
      </c>
      <c r="F394" s="5" t="s">
        <v>1151</v>
      </c>
      <c r="G394" s="5">
        <v>4</v>
      </c>
      <c r="H394" s="5">
        <v>730</v>
      </c>
      <c r="I394" s="5" t="s">
        <v>888</v>
      </c>
      <c r="J394" s="5" t="str">
        <f t="shared" si="6"/>
        <v>REGULAR</v>
      </c>
    </row>
    <row r="395" spans="1:10" x14ac:dyDescent="0.25">
      <c r="A395" s="5">
        <v>5394</v>
      </c>
      <c r="B395" s="6">
        <v>45831</v>
      </c>
      <c r="C395" s="5" t="s">
        <v>609</v>
      </c>
      <c r="D395" s="5" t="s">
        <v>1538</v>
      </c>
      <c r="E395" s="5">
        <v>2</v>
      </c>
      <c r="F395" s="5" t="s">
        <v>1152</v>
      </c>
      <c r="G395" s="5">
        <v>2</v>
      </c>
      <c r="H395" s="5">
        <v>92</v>
      </c>
      <c r="I395" s="5" t="s">
        <v>888</v>
      </c>
      <c r="J395" s="5" t="str">
        <f t="shared" si="6"/>
        <v>RETAIL</v>
      </c>
    </row>
    <row r="396" spans="1:10" x14ac:dyDescent="0.25">
      <c r="A396" s="5">
        <v>5395</v>
      </c>
      <c r="B396" s="6">
        <v>45832</v>
      </c>
      <c r="C396" s="5" t="s">
        <v>610</v>
      </c>
      <c r="D396" s="5" t="s">
        <v>1538</v>
      </c>
      <c r="E396" s="5">
        <v>5</v>
      </c>
      <c r="F396" s="5" t="s">
        <v>1153</v>
      </c>
      <c r="G396" s="5">
        <v>40</v>
      </c>
      <c r="H396" s="5">
        <v>3737.82</v>
      </c>
      <c r="I396" s="5" t="s">
        <v>1179</v>
      </c>
      <c r="J396" s="5" t="str">
        <f t="shared" si="6"/>
        <v>BULK/HOSPITALS</v>
      </c>
    </row>
    <row r="397" spans="1:10" x14ac:dyDescent="0.25">
      <c r="A397" s="5">
        <v>5396</v>
      </c>
      <c r="B397" s="6">
        <v>45832</v>
      </c>
      <c r="C397" s="5" t="s">
        <v>611</v>
      </c>
      <c r="D397" s="5" t="s">
        <v>1538</v>
      </c>
      <c r="E397" s="5">
        <v>5</v>
      </c>
      <c r="F397" s="5" t="s">
        <v>1154</v>
      </c>
      <c r="G397" s="5">
        <v>15</v>
      </c>
      <c r="H397" s="5">
        <v>750</v>
      </c>
      <c r="I397" s="5" t="s">
        <v>1184</v>
      </c>
      <c r="J397" s="5" t="str">
        <f t="shared" si="6"/>
        <v>REGULAR</v>
      </c>
    </row>
    <row r="398" spans="1:10" x14ac:dyDescent="0.25">
      <c r="A398" s="5">
        <v>5397</v>
      </c>
      <c r="B398" s="6">
        <v>45832</v>
      </c>
      <c r="C398" s="5" t="s">
        <v>612</v>
      </c>
      <c r="D398" s="5" t="s">
        <v>1538</v>
      </c>
      <c r="E398" s="5">
        <v>5</v>
      </c>
      <c r="F398" s="5" t="s">
        <v>1155</v>
      </c>
      <c r="G398" s="5">
        <v>30</v>
      </c>
      <c r="H398" s="5">
        <v>1108.53</v>
      </c>
      <c r="I398" s="5" t="s">
        <v>1200</v>
      </c>
      <c r="J398" s="5" t="str">
        <f t="shared" si="6"/>
        <v>BULK/HOSPITALS</v>
      </c>
    </row>
    <row r="399" spans="1:10" x14ac:dyDescent="0.25">
      <c r="A399" s="5">
        <v>5398</v>
      </c>
      <c r="B399" s="6">
        <v>45832</v>
      </c>
      <c r="C399" s="5" t="s">
        <v>613</v>
      </c>
      <c r="D399" s="5" t="s">
        <v>1538</v>
      </c>
      <c r="E399" s="5">
        <v>7</v>
      </c>
      <c r="F399" s="5" t="s">
        <v>1156</v>
      </c>
      <c r="G399" s="5">
        <v>60</v>
      </c>
      <c r="H399" s="5">
        <v>343.14</v>
      </c>
      <c r="I399" s="5" t="s">
        <v>1201</v>
      </c>
      <c r="J399" s="5" t="str">
        <f t="shared" si="6"/>
        <v>BULK/HOSPITALS</v>
      </c>
    </row>
    <row r="400" spans="1:10" x14ac:dyDescent="0.25">
      <c r="A400" s="5">
        <v>5399</v>
      </c>
      <c r="B400" s="6">
        <v>45832</v>
      </c>
      <c r="C400" s="5" t="s">
        <v>614</v>
      </c>
      <c r="D400" s="5" t="s">
        <v>1535</v>
      </c>
      <c r="E400" s="5">
        <v>7</v>
      </c>
      <c r="F400" s="5" t="s">
        <v>1157</v>
      </c>
      <c r="G400" s="5">
        <v>60</v>
      </c>
      <c r="H400" s="5">
        <v>662.61</v>
      </c>
      <c r="I400" s="5" t="s">
        <v>1064</v>
      </c>
      <c r="J400" s="5" t="str">
        <f t="shared" si="6"/>
        <v>BULK/HOSPITALS</v>
      </c>
    </row>
    <row r="401" spans="1:10" x14ac:dyDescent="0.25">
      <c r="A401" s="5">
        <v>5400</v>
      </c>
      <c r="B401" s="6">
        <v>45833</v>
      </c>
      <c r="C401" s="5" t="s">
        <v>615</v>
      </c>
      <c r="D401" s="5" t="s">
        <v>1538</v>
      </c>
      <c r="E401" s="5">
        <v>2</v>
      </c>
      <c r="F401" s="5" t="s">
        <v>1158</v>
      </c>
      <c r="G401" s="5">
        <v>3</v>
      </c>
      <c r="H401" s="5">
        <v>354.84</v>
      </c>
      <c r="I401" s="5" t="s">
        <v>957</v>
      </c>
      <c r="J401" s="5" t="str">
        <f t="shared" si="6"/>
        <v>REGULAR</v>
      </c>
    </row>
    <row r="402" spans="1:10" x14ac:dyDescent="0.25">
      <c r="A402" s="5">
        <v>5401</v>
      </c>
      <c r="B402" s="6">
        <v>45833</v>
      </c>
      <c r="C402" s="5" t="s">
        <v>616</v>
      </c>
      <c r="D402" s="5" t="s">
        <v>1538</v>
      </c>
      <c r="E402" s="5">
        <v>5</v>
      </c>
      <c r="F402" s="5" t="s">
        <v>1159</v>
      </c>
      <c r="G402" s="5">
        <v>20</v>
      </c>
      <c r="H402" s="5">
        <v>495.48</v>
      </c>
      <c r="I402" s="5" t="s">
        <v>843</v>
      </c>
      <c r="J402" s="5" t="str">
        <f t="shared" si="6"/>
        <v>REGULAR</v>
      </c>
    </row>
    <row r="403" spans="1:10" x14ac:dyDescent="0.25">
      <c r="A403" s="5">
        <v>5402</v>
      </c>
      <c r="B403" s="6">
        <v>45833</v>
      </c>
      <c r="C403" s="5" t="s">
        <v>617</v>
      </c>
      <c r="D403" s="5" t="s">
        <v>1538</v>
      </c>
      <c r="E403" s="5">
        <v>10</v>
      </c>
      <c r="F403" s="5" t="s">
        <v>761</v>
      </c>
      <c r="G403" s="5">
        <v>140</v>
      </c>
      <c r="H403" s="5">
        <v>3468.36</v>
      </c>
      <c r="I403" s="5" t="s">
        <v>1180</v>
      </c>
      <c r="J403" s="5" t="str">
        <f t="shared" si="6"/>
        <v>BULK/HOSPITALS</v>
      </c>
    </row>
    <row r="404" spans="1:10" x14ac:dyDescent="0.25">
      <c r="A404" s="5">
        <v>5403</v>
      </c>
      <c r="B404" s="6">
        <v>45834</v>
      </c>
      <c r="C404" s="5" t="s">
        <v>618</v>
      </c>
      <c r="D404" s="5" t="s">
        <v>1538</v>
      </c>
      <c r="E404" s="5">
        <v>2</v>
      </c>
      <c r="F404" s="5" t="s">
        <v>1160</v>
      </c>
      <c r="G404" s="5">
        <v>1</v>
      </c>
      <c r="H404" s="5">
        <v>239.9</v>
      </c>
      <c r="I404" s="5" t="s">
        <v>1202</v>
      </c>
      <c r="J404" s="5" t="str">
        <f t="shared" si="6"/>
        <v>RETAIL</v>
      </c>
    </row>
    <row r="405" spans="1:10" x14ac:dyDescent="0.25">
      <c r="A405" s="5">
        <v>5404</v>
      </c>
      <c r="B405" s="6">
        <v>45834</v>
      </c>
      <c r="C405" s="5" t="s">
        <v>619</v>
      </c>
      <c r="D405" s="5" t="s">
        <v>1535</v>
      </c>
      <c r="E405" s="5">
        <v>5</v>
      </c>
      <c r="F405" s="5" t="s">
        <v>1161</v>
      </c>
      <c r="G405" s="5">
        <v>30</v>
      </c>
      <c r="H405" s="5">
        <v>707.01</v>
      </c>
      <c r="I405" s="5" t="s">
        <v>981</v>
      </c>
      <c r="J405" s="5" t="str">
        <f t="shared" si="6"/>
        <v>BULK/HOSPITALS</v>
      </c>
    </row>
    <row r="406" spans="1:10" x14ac:dyDescent="0.25">
      <c r="A406" s="5">
        <v>5405</v>
      </c>
      <c r="B406" s="6">
        <v>45834</v>
      </c>
      <c r="C406" s="5" t="s">
        <v>620</v>
      </c>
      <c r="D406" s="5" t="s">
        <v>1535</v>
      </c>
      <c r="E406" s="5">
        <v>10</v>
      </c>
      <c r="F406" s="5" t="s">
        <v>1162</v>
      </c>
      <c r="G406" s="5">
        <v>1170</v>
      </c>
      <c r="H406" s="5">
        <v>25350.46</v>
      </c>
      <c r="I406" s="5" t="s">
        <v>981</v>
      </c>
      <c r="J406" s="5" t="str">
        <f t="shared" si="6"/>
        <v>BULK/HOSPITALS</v>
      </c>
    </row>
    <row r="407" spans="1:10" x14ac:dyDescent="0.25">
      <c r="A407" s="5">
        <v>5406</v>
      </c>
      <c r="B407" s="6">
        <v>45834</v>
      </c>
      <c r="C407" s="5" t="s">
        <v>621</v>
      </c>
      <c r="D407" s="5" t="s">
        <v>1535</v>
      </c>
      <c r="E407" s="5">
        <v>7</v>
      </c>
      <c r="F407" s="5" t="s">
        <v>1163</v>
      </c>
      <c r="G407" s="5">
        <v>60</v>
      </c>
      <c r="H407" s="5">
        <v>1425</v>
      </c>
      <c r="I407" s="5" t="s">
        <v>1181</v>
      </c>
      <c r="J407" s="5" t="str">
        <f t="shared" si="6"/>
        <v>BULK/HOSPITALS</v>
      </c>
    </row>
    <row r="408" spans="1:10" x14ac:dyDescent="0.25">
      <c r="A408" s="5">
        <v>5407</v>
      </c>
      <c r="B408" s="6">
        <v>45835</v>
      </c>
      <c r="C408" s="5" t="s">
        <v>622</v>
      </c>
      <c r="D408" s="5" t="s">
        <v>1535</v>
      </c>
      <c r="E408" s="5">
        <v>10</v>
      </c>
      <c r="F408" s="5" t="s">
        <v>1164</v>
      </c>
      <c r="G408" s="5">
        <v>254</v>
      </c>
      <c r="H408" s="5">
        <v>10509.41</v>
      </c>
      <c r="I408" s="5" t="s">
        <v>1189</v>
      </c>
      <c r="J408" s="5" t="str">
        <f t="shared" si="6"/>
        <v>BULK/HOSPITALS</v>
      </c>
    </row>
    <row r="409" spans="1:10" x14ac:dyDescent="0.25">
      <c r="A409" s="5">
        <v>5408</v>
      </c>
      <c r="B409" s="6">
        <v>45835</v>
      </c>
      <c r="C409" s="5" t="s">
        <v>623</v>
      </c>
      <c r="D409" s="5" t="s">
        <v>1535</v>
      </c>
      <c r="E409" s="5">
        <v>10</v>
      </c>
      <c r="F409" s="5" t="s">
        <v>1165</v>
      </c>
      <c r="G409" s="5">
        <v>230</v>
      </c>
      <c r="H409" s="5">
        <v>10286.86</v>
      </c>
      <c r="I409" s="5" t="s">
        <v>1182</v>
      </c>
      <c r="J409" s="5" t="str">
        <f t="shared" si="6"/>
        <v>BULK/HOSPITALS</v>
      </c>
    </row>
    <row r="410" spans="1:10" x14ac:dyDescent="0.25">
      <c r="A410" s="5">
        <v>5409</v>
      </c>
      <c r="B410" s="6">
        <v>45835</v>
      </c>
      <c r="C410" s="5" t="s">
        <v>624</v>
      </c>
      <c r="D410" s="5" t="s">
        <v>1538</v>
      </c>
      <c r="E410" s="5">
        <v>2</v>
      </c>
      <c r="F410" s="5" t="s">
        <v>1118</v>
      </c>
      <c r="G410" s="5">
        <v>2</v>
      </c>
      <c r="H410" s="5">
        <v>160</v>
      </c>
      <c r="I410" s="5" t="s">
        <v>1185</v>
      </c>
      <c r="J410" s="5" t="str">
        <f t="shared" si="6"/>
        <v>RETAIL</v>
      </c>
    </row>
    <row r="411" spans="1:10" x14ac:dyDescent="0.25">
      <c r="A411" s="5">
        <v>5410</v>
      </c>
      <c r="B411" s="6">
        <v>45835</v>
      </c>
      <c r="C411" s="5" t="s">
        <v>625</v>
      </c>
      <c r="D411" s="5" t="s">
        <v>1538</v>
      </c>
      <c r="E411" s="5">
        <v>5</v>
      </c>
      <c r="F411" s="5" t="s">
        <v>1166</v>
      </c>
      <c r="G411" s="5">
        <v>29</v>
      </c>
      <c r="H411" s="5">
        <v>3854.84</v>
      </c>
      <c r="I411" s="5" t="s">
        <v>983</v>
      </c>
      <c r="J411" s="5" t="str">
        <f t="shared" si="6"/>
        <v>BULK/HOSPITALS</v>
      </c>
    </row>
    <row r="412" spans="1:10" x14ac:dyDescent="0.25">
      <c r="A412" s="5">
        <v>5411</v>
      </c>
      <c r="B412" s="6">
        <v>45835</v>
      </c>
      <c r="C412" s="5" t="s">
        <v>626</v>
      </c>
      <c r="D412" s="5" t="s">
        <v>1538</v>
      </c>
      <c r="E412" s="5">
        <v>2</v>
      </c>
      <c r="F412" s="5" t="s">
        <v>1167</v>
      </c>
      <c r="G412" s="5">
        <v>1</v>
      </c>
      <c r="H412" s="5">
        <v>135</v>
      </c>
      <c r="I412" s="5" t="s">
        <v>1186</v>
      </c>
      <c r="J412" s="5" t="str">
        <f t="shared" si="6"/>
        <v>RETAIL</v>
      </c>
    </row>
    <row r="413" spans="1:10" x14ac:dyDescent="0.25">
      <c r="A413" s="5">
        <v>5412</v>
      </c>
      <c r="B413" s="6">
        <v>45836</v>
      </c>
      <c r="C413" s="5" t="s">
        <v>627</v>
      </c>
      <c r="D413" s="5" t="s">
        <v>1538</v>
      </c>
      <c r="E413" s="5">
        <v>2</v>
      </c>
      <c r="F413" s="5" t="s">
        <v>1168</v>
      </c>
      <c r="G413" s="5">
        <v>2</v>
      </c>
      <c r="H413" s="5">
        <v>266</v>
      </c>
      <c r="I413" s="5" t="s">
        <v>1187</v>
      </c>
      <c r="J413" s="5" t="str">
        <f t="shared" si="6"/>
        <v>RETAIL</v>
      </c>
    </row>
    <row r="414" spans="1:10" x14ac:dyDescent="0.25">
      <c r="A414" s="5">
        <v>5413</v>
      </c>
      <c r="B414" s="6">
        <v>45836</v>
      </c>
      <c r="C414" s="5" t="s">
        <v>628</v>
      </c>
      <c r="D414" s="5" t="s">
        <v>1535</v>
      </c>
      <c r="E414" s="5">
        <v>10</v>
      </c>
      <c r="F414" s="5" t="s">
        <v>1169</v>
      </c>
      <c r="G414" s="5">
        <v>131</v>
      </c>
      <c r="H414" s="5">
        <v>1320.22</v>
      </c>
      <c r="I414" s="5" t="s">
        <v>822</v>
      </c>
      <c r="J414" s="5" t="str">
        <f t="shared" si="6"/>
        <v>BULK/HOSPITALS</v>
      </c>
    </row>
    <row r="415" spans="1:10" x14ac:dyDescent="0.25">
      <c r="A415" s="5">
        <v>5414</v>
      </c>
      <c r="B415" s="6">
        <v>45836</v>
      </c>
      <c r="C415" s="5" t="s">
        <v>629</v>
      </c>
      <c r="D415" s="5" t="s">
        <v>1538</v>
      </c>
      <c r="E415" s="5">
        <v>5</v>
      </c>
      <c r="F415" s="5" t="s">
        <v>1170</v>
      </c>
      <c r="G415" s="5">
        <v>35</v>
      </c>
      <c r="H415" s="5">
        <v>350</v>
      </c>
      <c r="I415" s="5" t="s">
        <v>1188</v>
      </c>
      <c r="J415" s="5" t="str">
        <f t="shared" si="6"/>
        <v>BULK/HOSPITALS</v>
      </c>
    </row>
    <row r="416" spans="1:10" x14ac:dyDescent="0.25">
      <c r="A416" s="5">
        <v>5415</v>
      </c>
      <c r="B416" s="6">
        <v>45837</v>
      </c>
      <c r="C416" s="5" t="s">
        <v>335</v>
      </c>
      <c r="D416" s="5" t="s">
        <v>1538</v>
      </c>
      <c r="E416" s="5">
        <v>2</v>
      </c>
      <c r="F416" s="5" t="s">
        <v>1235</v>
      </c>
      <c r="G416" s="5">
        <v>6</v>
      </c>
      <c r="H416" s="5">
        <v>60</v>
      </c>
      <c r="I416" s="5" t="s">
        <v>1203</v>
      </c>
      <c r="J416" s="5" t="str">
        <f t="shared" si="6"/>
        <v>REGULAR</v>
      </c>
    </row>
    <row r="417" spans="1:10" x14ac:dyDescent="0.25">
      <c r="A417" s="5">
        <v>5416</v>
      </c>
      <c r="B417" s="6">
        <v>45837</v>
      </c>
      <c r="C417" s="5" t="s">
        <v>336</v>
      </c>
      <c r="D417" s="5" t="s">
        <v>1535</v>
      </c>
      <c r="E417" s="5">
        <v>2</v>
      </c>
      <c r="F417" s="5" t="s">
        <v>1236</v>
      </c>
      <c r="G417" s="5">
        <v>1</v>
      </c>
      <c r="H417" s="5">
        <v>543</v>
      </c>
      <c r="I417" s="5" t="s">
        <v>1204</v>
      </c>
      <c r="J417" s="5" t="str">
        <f t="shared" si="6"/>
        <v>RETAIL</v>
      </c>
    </row>
    <row r="418" spans="1:10" x14ac:dyDescent="0.25">
      <c r="A418" s="5">
        <v>5417</v>
      </c>
      <c r="B418" s="6">
        <v>45837</v>
      </c>
      <c r="C418" s="5" t="s">
        <v>337</v>
      </c>
      <c r="D418" s="5" t="s">
        <v>1535</v>
      </c>
      <c r="E418" s="5">
        <v>5</v>
      </c>
      <c r="F418" s="5" t="s">
        <v>1237</v>
      </c>
      <c r="G418" s="5">
        <v>30</v>
      </c>
      <c r="H418" s="5">
        <v>789</v>
      </c>
      <c r="I418" s="5" t="s">
        <v>890</v>
      </c>
      <c r="J418" s="5" t="str">
        <f t="shared" si="6"/>
        <v>BULK/HOSPITALS</v>
      </c>
    </row>
    <row r="419" spans="1:10" x14ac:dyDescent="0.25">
      <c r="A419" s="5">
        <v>5418</v>
      </c>
      <c r="B419" s="6">
        <v>45837</v>
      </c>
      <c r="C419" s="5" t="s">
        <v>338</v>
      </c>
      <c r="D419" s="5" t="s">
        <v>1538</v>
      </c>
      <c r="E419" s="5">
        <v>2</v>
      </c>
      <c r="F419" s="5" t="s">
        <v>1238</v>
      </c>
      <c r="G419" s="5">
        <v>1</v>
      </c>
      <c r="H419" s="5">
        <v>143</v>
      </c>
      <c r="I419" s="5" t="s">
        <v>1205</v>
      </c>
      <c r="J419" s="5" t="str">
        <f t="shared" si="6"/>
        <v>RETAIL</v>
      </c>
    </row>
    <row r="420" spans="1:10" x14ac:dyDescent="0.25">
      <c r="A420" s="5">
        <v>5419</v>
      </c>
      <c r="B420" s="6">
        <v>45838</v>
      </c>
      <c r="C420" s="5" t="s">
        <v>339</v>
      </c>
      <c r="D420" s="5" t="s">
        <v>1535</v>
      </c>
      <c r="E420" s="5">
        <v>5</v>
      </c>
      <c r="F420" s="5" t="s">
        <v>1239</v>
      </c>
      <c r="G420" s="5">
        <v>15</v>
      </c>
      <c r="H420" s="5">
        <v>177.26</v>
      </c>
      <c r="I420" s="5" t="s">
        <v>872</v>
      </c>
      <c r="J420" s="5" t="str">
        <f t="shared" si="6"/>
        <v>REGULAR</v>
      </c>
    </row>
    <row r="421" spans="1:10" x14ac:dyDescent="0.25">
      <c r="A421" s="5">
        <v>5420</v>
      </c>
      <c r="B421" s="6">
        <v>45838</v>
      </c>
      <c r="C421" s="5" t="s">
        <v>340</v>
      </c>
      <c r="D421" s="5" t="s">
        <v>1538</v>
      </c>
      <c r="E421" s="5">
        <v>2</v>
      </c>
      <c r="F421" s="5" t="s">
        <v>645</v>
      </c>
      <c r="G421" s="5">
        <v>1</v>
      </c>
      <c r="H421" s="5">
        <v>110</v>
      </c>
      <c r="I421" s="5" t="s">
        <v>1206</v>
      </c>
      <c r="J421" s="5" t="str">
        <f t="shared" si="6"/>
        <v>RETAIL</v>
      </c>
    </row>
    <row r="422" spans="1:10" x14ac:dyDescent="0.25">
      <c r="A422" s="5">
        <v>5421</v>
      </c>
      <c r="B422" s="6">
        <v>45838</v>
      </c>
      <c r="C422" s="5" t="s">
        <v>341</v>
      </c>
      <c r="D422" s="5" t="s">
        <v>1538</v>
      </c>
      <c r="E422" s="5">
        <v>10</v>
      </c>
      <c r="F422" s="5" t="s">
        <v>1240</v>
      </c>
      <c r="G422" s="5">
        <v>120</v>
      </c>
      <c r="H422" s="5">
        <v>281.27999999999997</v>
      </c>
      <c r="I422" s="5" t="s">
        <v>1195</v>
      </c>
      <c r="J422" s="5" t="str">
        <f t="shared" si="6"/>
        <v>BULK/HOSPITALS</v>
      </c>
    </row>
    <row r="423" spans="1:10" x14ac:dyDescent="0.25">
      <c r="A423" s="5">
        <v>5422</v>
      </c>
      <c r="B423" s="6">
        <v>45838</v>
      </c>
      <c r="C423" s="5" t="s">
        <v>342</v>
      </c>
      <c r="D423" s="5" t="s">
        <v>1538</v>
      </c>
      <c r="E423" s="5">
        <v>10</v>
      </c>
      <c r="F423" s="5" t="s">
        <v>1125</v>
      </c>
      <c r="G423" s="5">
        <v>140</v>
      </c>
      <c r="H423" s="5">
        <v>346.66</v>
      </c>
      <c r="I423" s="5" t="s">
        <v>1195</v>
      </c>
      <c r="J423" s="5" t="str">
        <f t="shared" si="6"/>
        <v>BULK/HOSPITALS</v>
      </c>
    </row>
    <row r="424" spans="1:10" x14ac:dyDescent="0.25">
      <c r="A424" s="5">
        <v>5423</v>
      </c>
      <c r="B424" s="6">
        <v>45838</v>
      </c>
      <c r="C424" s="5" t="s">
        <v>343</v>
      </c>
      <c r="D424" s="5" t="s">
        <v>1538</v>
      </c>
      <c r="E424" s="5">
        <v>7</v>
      </c>
      <c r="F424" s="5" t="s">
        <v>761</v>
      </c>
      <c r="G424" s="5">
        <v>90</v>
      </c>
      <c r="H424" s="5">
        <v>2213.8200000000002</v>
      </c>
      <c r="I424" s="5" t="s">
        <v>1207</v>
      </c>
      <c r="J424" s="5" t="str">
        <f t="shared" si="6"/>
        <v>BULK/HOSPITALS</v>
      </c>
    </row>
    <row r="425" spans="1:10" x14ac:dyDescent="0.25">
      <c r="A425" s="5">
        <v>5424</v>
      </c>
      <c r="B425" s="6">
        <v>45839</v>
      </c>
      <c r="C425" s="5" t="s">
        <v>344</v>
      </c>
      <c r="D425" s="5" t="s">
        <v>1535</v>
      </c>
      <c r="E425" s="5">
        <v>2</v>
      </c>
      <c r="F425" s="5" t="s">
        <v>1241</v>
      </c>
      <c r="G425" s="5">
        <v>4</v>
      </c>
      <c r="H425" s="5">
        <v>30</v>
      </c>
      <c r="I425" s="5" t="s">
        <v>1208</v>
      </c>
      <c r="J425" s="5" t="str">
        <f t="shared" si="6"/>
        <v>REGULAR</v>
      </c>
    </row>
    <row r="426" spans="1:10" x14ac:dyDescent="0.25">
      <c r="A426" s="5">
        <v>5425</v>
      </c>
      <c r="B426" s="6">
        <v>45839</v>
      </c>
      <c r="C426" s="5" t="s">
        <v>345</v>
      </c>
      <c r="D426" s="5" t="s">
        <v>1538</v>
      </c>
      <c r="E426" s="5">
        <v>5</v>
      </c>
      <c r="F426" s="5" t="s">
        <v>1242</v>
      </c>
      <c r="G426" s="5">
        <v>10</v>
      </c>
      <c r="H426" s="5">
        <v>152.9</v>
      </c>
      <c r="I426" s="5" t="s">
        <v>1209</v>
      </c>
      <c r="J426" s="5" t="str">
        <f t="shared" si="6"/>
        <v>REGULAR</v>
      </c>
    </row>
    <row r="427" spans="1:10" x14ac:dyDescent="0.25">
      <c r="A427" s="5">
        <v>5426</v>
      </c>
      <c r="B427" s="6">
        <v>45839</v>
      </c>
      <c r="C427" s="5" t="s">
        <v>346</v>
      </c>
      <c r="D427" s="5" t="s">
        <v>1538</v>
      </c>
      <c r="E427" s="5">
        <v>7</v>
      </c>
      <c r="F427" s="5" t="s">
        <v>1243</v>
      </c>
      <c r="G427" s="5">
        <v>70</v>
      </c>
      <c r="H427" s="5">
        <v>13934</v>
      </c>
      <c r="I427" s="5" t="s">
        <v>869</v>
      </c>
      <c r="J427" s="5" t="str">
        <f t="shared" si="6"/>
        <v>BULK/HOSPITALS</v>
      </c>
    </row>
    <row r="428" spans="1:10" x14ac:dyDescent="0.25">
      <c r="A428" s="5">
        <v>5427</v>
      </c>
      <c r="B428" s="6">
        <v>45840</v>
      </c>
      <c r="C428" s="5" t="s">
        <v>347</v>
      </c>
      <c r="D428" s="5" t="s">
        <v>1538</v>
      </c>
      <c r="E428" s="5">
        <v>2</v>
      </c>
      <c r="F428" s="5" t="s">
        <v>1244</v>
      </c>
      <c r="G428" s="5">
        <v>1</v>
      </c>
      <c r="H428" s="5">
        <v>531</v>
      </c>
      <c r="I428" s="5" t="s">
        <v>1210</v>
      </c>
      <c r="J428" s="5" t="str">
        <f t="shared" si="6"/>
        <v>RETAIL</v>
      </c>
    </row>
    <row r="429" spans="1:10" x14ac:dyDescent="0.25">
      <c r="A429" s="5">
        <v>5428</v>
      </c>
      <c r="B429" s="6">
        <v>45840</v>
      </c>
      <c r="C429" s="5" t="s">
        <v>348</v>
      </c>
      <c r="D429" s="5" t="s">
        <v>1538</v>
      </c>
      <c r="E429" s="5">
        <v>2</v>
      </c>
      <c r="F429" s="5" t="s">
        <v>1245</v>
      </c>
      <c r="G429" s="5">
        <v>2</v>
      </c>
      <c r="H429" s="5">
        <v>970</v>
      </c>
      <c r="I429" s="5" t="s">
        <v>1211</v>
      </c>
      <c r="J429" s="5" t="str">
        <f t="shared" si="6"/>
        <v>RETAIL</v>
      </c>
    </row>
    <row r="430" spans="1:10" x14ac:dyDescent="0.25">
      <c r="A430" s="5">
        <v>5429</v>
      </c>
      <c r="B430" s="6">
        <v>45840</v>
      </c>
      <c r="C430" s="5" t="s">
        <v>349</v>
      </c>
      <c r="D430" s="5" t="s">
        <v>1538</v>
      </c>
      <c r="E430" s="5">
        <v>2</v>
      </c>
      <c r="F430" s="5" t="s">
        <v>1246</v>
      </c>
      <c r="G430" s="5">
        <v>1</v>
      </c>
      <c r="H430" s="5">
        <v>249</v>
      </c>
      <c r="I430" s="5" t="s">
        <v>870</v>
      </c>
      <c r="J430" s="5" t="str">
        <f t="shared" si="6"/>
        <v>RETAIL</v>
      </c>
    </row>
    <row r="431" spans="1:10" x14ac:dyDescent="0.25">
      <c r="A431" s="5">
        <v>5430</v>
      </c>
      <c r="B431" s="6">
        <v>45840</v>
      </c>
      <c r="C431" s="5" t="s">
        <v>350</v>
      </c>
      <c r="D431" s="5" t="s">
        <v>1538</v>
      </c>
      <c r="E431" s="5">
        <v>2</v>
      </c>
      <c r="F431" s="5" t="s">
        <v>1247</v>
      </c>
      <c r="G431" s="5">
        <v>1</v>
      </c>
      <c r="H431" s="5">
        <v>369</v>
      </c>
      <c r="I431" s="5" t="s">
        <v>870</v>
      </c>
      <c r="J431" s="5" t="str">
        <f t="shared" si="6"/>
        <v>RETAIL</v>
      </c>
    </row>
    <row r="432" spans="1:10" x14ac:dyDescent="0.25">
      <c r="A432" s="5">
        <v>5431</v>
      </c>
      <c r="B432" s="6">
        <v>45842</v>
      </c>
      <c r="C432" s="5" t="s">
        <v>351</v>
      </c>
      <c r="D432" s="5" t="s">
        <v>1538</v>
      </c>
      <c r="E432" s="5">
        <v>2</v>
      </c>
      <c r="F432" s="5" t="s">
        <v>1248</v>
      </c>
      <c r="G432" s="5">
        <v>2</v>
      </c>
      <c r="H432" s="5">
        <v>738</v>
      </c>
      <c r="I432" s="5" t="s">
        <v>870</v>
      </c>
      <c r="J432" s="5" t="str">
        <f t="shared" si="6"/>
        <v>RETAIL</v>
      </c>
    </row>
    <row r="433" spans="1:10" x14ac:dyDescent="0.25">
      <c r="A433" s="5">
        <v>5432</v>
      </c>
      <c r="B433" s="6">
        <v>45842</v>
      </c>
      <c r="C433" s="5" t="s">
        <v>352</v>
      </c>
      <c r="D433" s="5" t="s">
        <v>1535</v>
      </c>
      <c r="E433" s="5">
        <v>5</v>
      </c>
      <c r="F433" s="5" t="s">
        <v>1249</v>
      </c>
      <c r="G433" s="5">
        <v>10</v>
      </c>
      <c r="H433" s="5">
        <v>14.9</v>
      </c>
      <c r="I433" s="5" t="s">
        <v>1212</v>
      </c>
      <c r="J433" s="5" t="str">
        <f t="shared" si="6"/>
        <v>REGULAR</v>
      </c>
    </row>
    <row r="434" spans="1:10" x14ac:dyDescent="0.25">
      <c r="A434" s="5">
        <v>5433</v>
      </c>
      <c r="B434" s="6">
        <v>45842</v>
      </c>
      <c r="C434" s="5" t="s">
        <v>334</v>
      </c>
      <c r="D434" s="5" t="s">
        <v>1535</v>
      </c>
      <c r="E434" s="5">
        <v>5</v>
      </c>
      <c r="F434" s="5" t="s">
        <v>1250</v>
      </c>
      <c r="G434" s="5">
        <v>20</v>
      </c>
      <c r="H434" s="5">
        <v>129.63999999999999</v>
      </c>
      <c r="I434" s="5" t="s">
        <v>1213</v>
      </c>
      <c r="J434" s="5" t="str">
        <f t="shared" si="6"/>
        <v>REGULAR</v>
      </c>
    </row>
    <row r="435" spans="1:10" x14ac:dyDescent="0.25">
      <c r="A435" s="5">
        <v>5434</v>
      </c>
      <c r="B435" s="6">
        <v>45843</v>
      </c>
      <c r="C435" s="5" t="s">
        <v>353</v>
      </c>
      <c r="D435" s="5" t="s">
        <v>1538</v>
      </c>
      <c r="E435" s="5">
        <v>5</v>
      </c>
      <c r="F435" s="5" t="s">
        <v>1251</v>
      </c>
      <c r="G435" s="5">
        <v>10</v>
      </c>
      <c r="H435" s="5">
        <v>150</v>
      </c>
      <c r="I435" s="5" t="s">
        <v>1214</v>
      </c>
      <c r="J435" s="5" t="str">
        <f t="shared" si="6"/>
        <v>REGULAR</v>
      </c>
    </row>
    <row r="436" spans="1:10" x14ac:dyDescent="0.25">
      <c r="A436" s="5">
        <v>5435</v>
      </c>
      <c r="B436" s="6">
        <v>45843</v>
      </c>
      <c r="C436" s="5" t="s">
        <v>354</v>
      </c>
      <c r="D436" s="5" t="s">
        <v>1535</v>
      </c>
      <c r="E436" s="5">
        <v>7</v>
      </c>
      <c r="F436" s="5" t="s">
        <v>1252</v>
      </c>
      <c r="G436" s="5">
        <v>90</v>
      </c>
      <c r="H436" s="5">
        <v>2724.93</v>
      </c>
      <c r="I436" s="5" t="s">
        <v>1215</v>
      </c>
      <c r="J436" s="5" t="str">
        <f t="shared" si="6"/>
        <v>BULK/HOSPITALS</v>
      </c>
    </row>
    <row r="437" spans="1:10" x14ac:dyDescent="0.25">
      <c r="A437" s="5">
        <v>5436</v>
      </c>
      <c r="B437" s="6">
        <v>45843</v>
      </c>
      <c r="C437" s="5" t="s">
        <v>355</v>
      </c>
      <c r="D437" s="5" t="s">
        <v>1538</v>
      </c>
      <c r="E437" s="5">
        <v>5</v>
      </c>
      <c r="F437" s="5" t="s">
        <v>1253</v>
      </c>
      <c r="G437" s="5">
        <v>26</v>
      </c>
      <c r="H437" s="5">
        <v>12178</v>
      </c>
      <c r="I437" s="5" t="s">
        <v>1171</v>
      </c>
      <c r="J437" s="5" t="str">
        <f t="shared" si="6"/>
        <v>BULK/HOSPITALS</v>
      </c>
    </row>
    <row r="438" spans="1:10" x14ac:dyDescent="0.25">
      <c r="A438" s="5">
        <v>5437</v>
      </c>
      <c r="B438" s="6">
        <v>45843</v>
      </c>
      <c r="C438" s="5" t="s">
        <v>356</v>
      </c>
      <c r="D438" s="5" t="s">
        <v>1538</v>
      </c>
      <c r="E438" s="5">
        <v>2</v>
      </c>
      <c r="F438" s="5" t="s">
        <v>1254</v>
      </c>
      <c r="G438" s="5">
        <v>1</v>
      </c>
      <c r="H438" s="5">
        <v>286</v>
      </c>
      <c r="I438" s="5" t="s">
        <v>1171</v>
      </c>
      <c r="J438" s="5" t="str">
        <f t="shared" si="6"/>
        <v>RETAIL</v>
      </c>
    </row>
    <row r="439" spans="1:10" x14ac:dyDescent="0.25">
      <c r="A439" s="5">
        <v>5438</v>
      </c>
      <c r="B439" s="6">
        <v>45844</v>
      </c>
      <c r="C439" s="5" t="s">
        <v>357</v>
      </c>
      <c r="D439" s="5" t="s">
        <v>1538</v>
      </c>
      <c r="E439" s="5">
        <v>2</v>
      </c>
      <c r="F439" s="5" t="s">
        <v>1255</v>
      </c>
      <c r="G439" s="5">
        <v>3</v>
      </c>
      <c r="H439" s="5">
        <v>1063</v>
      </c>
      <c r="I439" s="5" t="s">
        <v>1171</v>
      </c>
      <c r="J439" s="5" t="str">
        <f t="shared" si="6"/>
        <v>REGULAR</v>
      </c>
    </row>
    <row r="440" spans="1:10" x14ac:dyDescent="0.25">
      <c r="A440" s="5">
        <v>5439</v>
      </c>
      <c r="B440" s="6">
        <v>45844</v>
      </c>
      <c r="C440" s="5" t="s">
        <v>358</v>
      </c>
      <c r="D440" s="5" t="s">
        <v>1538</v>
      </c>
      <c r="E440" s="5">
        <v>2</v>
      </c>
      <c r="F440" s="5" t="s">
        <v>1256</v>
      </c>
      <c r="G440" s="5">
        <v>1</v>
      </c>
      <c r="H440" s="5">
        <v>156</v>
      </c>
      <c r="I440" s="5" t="s">
        <v>1171</v>
      </c>
      <c r="J440" s="5" t="str">
        <f t="shared" si="6"/>
        <v>RETAIL</v>
      </c>
    </row>
    <row r="441" spans="1:10" x14ac:dyDescent="0.25">
      <c r="A441" s="5">
        <v>5440</v>
      </c>
      <c r="B441" s="6">
        <v>45844</v>
      </c>
      <c r="C441" s="5" t="s">
        <v>359</v>
      </c>
      <c r="D441" s="5" t="s">
        <v>1535</v>
      </c>
      <c r="E441" s="5">
        <v>5</v>
      </c>
      <c r="F441" s="5" t="s">
        <v>1257</v>
      </c>
      <c r="G441" s="5">
        <v>20</v>
      </c>
      <c r="H441" s="5">
        <v>105.8</v>
      </c>
      <c r="I441" s="5" t="s">
        <v>1216</v>
      </c>
      <c r="J441" s="5" t="str">
        <f t="shared" si="6"/>
        <v>REGULAR</v>
      </c>
    </row>
    <row r="442" spans="1:10" x14ac:dyDescent="0.25">
      <c r="A442" s="5">
        <v>5441</v>
      </c>
      <c r="B442" s="6">
        <v>45844</v>
      </c>
      <c r="C442" s="5" t="s">
        <v>360</v>
      </c>
      <c r="D442" s="5" t="s">
        <v>1538</v>
      </c>
      <c r="E442" s="5">
        <v>2</v>
      </c>
      <c r="F442" s="5" t="s">
        <v>1258</v>
      </c>
      <c r="G442" s="5">
        <v>4</v>
      </c>
      <c r="H442" s="5">
        <v>540</v>
      </c>
      <c r="I442" s="5" t="s">
        <v>1217</v>
      </c>
      <c r="J442" s="5" t="str">
        <f t="shared" si="6"/>
        <v>REGULAR</v>
      </c>
    </row>
    <row r="443" spans="1:10" x14ac:dyDescent="0.25">
      <c r="A443" s="5">
        <v>5442</v>
      </c>
      <c r="B443" s="6">
        <v>45844</v>
      </c>
      <c r="C443" s="5" t="s">
        <v>361</v>
      </c>
      <c r="D443" s="5" t="s">
        <v>1538</v>
      </c>
      <c r="E443" s="5">
        <v>2</v>
      </c>
      <c r="F443" s="5" t="s">
        <v>1259</v>
      </c>
      <c r="G443" s="5">
        <v>2</v>
      </c>
      <c r="H443" s="5">
        <v>198</v>
      </c>
      <c r="I443" s="5" t="s">
        <v>870</v>
      </c>
      <c r="J443" s="5" t="str">
        <f t="shared" si="6"/>
        <v>RETAIL</v>
      </c>
    </row>
    <row r="444" spans="1:10" x14ac:dyDescent="0.25">
      <c r="A444" s="5">
        <v>5443</v>
      </c>
      <c r="B444" s="6">
        <v>45845</v>
      </c>
      <c r="C444" s="5" t="s">
        <v>362</v>
      </c>
      <c r="D444" s="5" t="s">
        <v>1535</v>
      </c>
      <c r="E444" s="5">
        <v>10</v>
      </c>
      <c r="F444" s="5" t="s">
        <v>1083</v>
      </c>
      <c r="G444" s="5">
        <v>165</v>
      </c>
      <c r="H444" s="5">
        <v>280.73</v>
      </c>
      <c r="I444" s="5" t="s">
        <v>1218</v>
      </c>
      <c r="J444" s="5" t="str">
        <f t="shared" si="6"/>
        <v>BULK/HOSPITALS</v>
      </c>
    </row>
    <row r="445" spans="1:10" x14ac:dyDescent="0.25">
      <c r="A445" s="5">
        <v>5444</v>
      </c>
      <c r="B445" s="6">
        <v>45845</v>
      </c>
      <c r="C445" s="5" t="s">
        <v>363</v>
      </c>
      <c r="D445" s="5" t="s">
        <v>1538</v>
      </c>
      <c r="E445" s="5">
        <v>7</v>
      </c>
      <c r="F445" s="5" t="s">
        <v>1260</v>
      </c>
      <c r="G445" s="5">
        <v>90</v>
      </c>
      <c r="H445" s="5">
        <v>1483.65</v>
      </c>
      <c r="I445" s="5" t="s">
        <v>1219</v>
      </c>
      <c r="J445" s="5" t="str">
        <f t="shared" si="6"/>
        <v>BULK/HOSPITALS</v>
      </c>
    </row>
    <row r="446" spans="1:10" x14ac:dyDescent="0.25">
      <c r="A446" s="5">
        <v>5445</v>
      </c>
      <c r="B446" s="6">
        <v>45845</v>
      </c>
      <c r="C446" s="5" t="s">
        <v>364</v>
      </c>
      <c r="D446" s="5" t="s">
        <v>1535</v>
      </c>
      <c r="E446" s="5">
        <v>5</v>
      </c>
      <c r="F446" s="5" t="s">
        <v>1029</v>
      </c>
      <c r="G446" s="5">
        <v>40</v>
      </c>
      <c r="H446" s="5">
        <v>267.12</v>
      </c>
      <c r="I446" s="5" t="s">
        <v>1220</v>
      </c>
      <c r="J446" s="5" t="str">
        <f t="shared" si="6"/>
        <v>BULK/HOSPITALS</v>
      </c>
    </row>
    <row r="447" spans="1:10" x14ac:dyDescent="0.25">
      <c r="A447" s="5">
        <v>5446</v>
      </c>
      <c r="B447" s="6">
        <v>45846</v>
      </c>
      <c r="C447" s="5" t="s">
        <v>365</v>
      </c>
      <c r="D447" s="5" t="s">
        <v>1538</v>
      </c>
      <c r="E447" s="5">
        <v>5</v>
      </c>
      <c r="F447" s="5" t="s">
        <v>686</v>
      </c>
      <c r="G447" s="5">
        <v>13</v>
      </c>
      <c r="H447" s="5">
        <v>282</v>
      </c>
      <c r="I447" s="5" t="s">
        <v>1221</v>
      </c>
      <c r="J447" s="5" t="str">
        <f t="shared" si="6"/>
        <v>REGULAR</v>
      </c>
    </row>
    <row r="448" spans="1:10" x14ac:dyDescent="0.25">
      <c r="A448" s="5">
        <v>5447</v>
      </c>
      <c r="B448" s="6">
        <v>45846</v>
      </c>
      <c r="C448" s="5" t="s">
        <v>366</v>
      </c>
      <c r="D448" s="5" t="s">
        <v>1538</v>
      </c>
      <c r="E448" s="5">
        <v>5</v>
      </c>
      <c r="F448" s="5" t="s">
        <v>1261</v>
      </c>
      <c r="G448" s="5">
        <v>13</v>
      </c>
      <c r="H448" s="5">
        <v>286</v>
      </c>
      <c r="I448" s="5" t="s">
        <v>893</v>
      </c>
      <c r="J448" s="5" t="str">
        <f t="shared" si="6"/>
        <v>REGULAR</v>
      </c>
    </row>
    <row r="449" spans="1:10" x14ac:dyDescent="0.25">
      <c r="A449" s="5">
        <v>5448</v>
      </c>
      <c r="B449" s="6">
        <v>45846</v>
      </c>
      <c r="C449" s="5" t="s">
        <v>367</v>
      </c>
      <c r="D449" s="5" t="s">
        <v>1535</v>
      </c>
      <c r="E449" s="5">
        <v>5</v>
      </c>
      <c r="F449" s="5" t="s">
        <v>1262</v>
      </c>
      <c r="G449" s="5">
        <v>15</v>
      </c>
      <c r="H449" s="5">
        <v>56</v>
      </c>
      <c r="I449" s="5" t="s">
        <v>1222</v>
      </c>
      <c r="J449" s="5" t="str">
        <f t="shared" si="6"/>
        <v>REGULAR</v>
      </c>
    </row>
    <row r="450" spans="1:10" x14ac:dyDescent="0.25">
      <c r="A450" s="5">
        <v>5449</v>
      </c>
      <c r="B450" s="6">
        <v>45846</v>
      </c>
      <c r="C450" s="5" t="s">
        <v>368</v>
      </c>
      <c r="D450" s="5" t="s">
        <v>1535</v>
      </c>
      <c r="E450" s="5">
        <v>5</v>
      </c>
      <c r="F450" s="5" t="s">
        <v>1263</v>
      </c>
      <c r="G450" s="5">
        <v>30</v>
      </c>
      <c r="H450" s="5">
        <v>165.96</v>
      </c>
      <c r="I450" s="5" t="s">
        <v>843</v>
      </c>
      <c r="J450" s="5" t="str">
        <f t="shared" si="6"/>
        <v>BULK/HOSPITALS</v>
      </c>
    </row>
    <row r="451" spans="1:10" x14ac:dyDescent="0.25">
      <c r="A451" s="5">
        <v>5450</v>
      </c>
      <c r="B451" s="6">
        <v>45847</v>
      </c>
      <c r="C451" s="5" t="s">
        <v>369</v>
      </c>
      <c r="D451" s="5" t="s">
        <v>1536</v>
      </c>
      <c r="E451" s="5">
        <v>2</v>
      </c>
      <c r="F451" s="5" t="s">
        <v>1264</v>
      </c>
      <c r="G451" s="5">
        <v>1</v>
      </c>
      <c r="H451" s="5">
        <v>250</v>
      </c>
      <c r="I451" s="5" t="s">
        <v>1223</v>
      </c>
      <c r="J451" s="5" t="str">
        <f t="shared" ref="J451:J514" si="7">IF(G451&lt;=2,"RETAIL",IF(G451&lt;=20,"REGULAR",IF(G451&gt;20,"BULK/HOSPITALS")))</f>
        <v>RETAIL</v>
      </c>
    </row>
    <row r="452" spans="1:10" x14ac:dyDescent="0.25">
      <c r="A452" s="5">
        <v>5451</v>
      </c>
      <c r="B452" s="6">
        <v>45847</v>
      </c>
      <c r="C452" s="5" t="s">
        <v>370</v>
      </c>
      <c r="D452" s="5" t="s">
        <v>1538</v>
      </c>
      <c r="E452" s="5">
        <v>2</v>
      </c>
      <c r="F452" s="5" t="s">
        <v>1265</v>
      </c>
      <c r="G452" s="5">
        <v>1</v>
      </c>
      <c r="H452" s="5">
        <v>1799</v>
      </c>
      <c r="I452" s="5" t="s">
        <v>1224</v>
      </c>
      <c r="J452" s="5" t="str">
        <f t="shared" si="7"/>
        <v>RETAIL</v>
      </c>
    </row>
    <row r="453" spans="1:10" x14ac:dyDescent="0.25">
      <c r="A453" s="5">
        <v>5452</v>
      </c>
      <c r="B453" s="6">
        <v>45847</v>
      </c>
      <c r="C453" s="5" t="s">
        <v>371</v>
      </c>
      <c r="D453" s="5" t="s">
        <v>1538</v>
      </c>
      <c r="E453" s="5">
        <v>2</v>
      </c>
      <c r="F453" s="5" t="s">
        <v>1266</v>
      </c>
      <c r="G453" s="5">
        <v>2</v>
      </c>
      <c r="H453" s="5">
        <v>450</v>
      </c>
      <c r="I453" s="5" t="s">
        <v>1225</v>
      </c>
      <c r="J453" s="5" t="str">
        <f t="shared" si="7"/>
        <v>RETAIL</v>
      </c>
    </row>
    <row r="454" spans="1:10" x14ac:dyDescent="0.25">
      <c r="A454" s="5">
        <v>5453</v>
      </c>
      <c r="B454" s="6">
        <v>45847</v>
      </c>
      <c r="C454" s="5" t="s">
        <v>372</v>
      </c>
      <c r="D454" s="5" t="s">
        <v>1538</v>
      </c>
      <c r="E454" s="5">
        <v>5</v>
      </c>
      <c r="F454" s="5" t="s">
        <v>1267</v>
      </c>
      <c r="G454" s="5">
        <v>10</v>
      </c>
      <c r="H454" s="5">
        <v>218.2</v>
      </c>
      <c r="I454" s="5" t="s">
        <v>1226</v>
      </c>
      <c r="J454" s="5" t="str">
        <f t="shared" si="7"/>
        <v>REGULAR</v>
      </c>
    </row>
    <row r="455" spans="1:10" x14ac:dyDescent="0.25">
      <c r="A455" s="5">
        <v>5454</v>
      </c>
      <c r="B455" s="6">
        <v>45847</v>
      </c>
      <c r="C455" s="5" t="s">
        <v>373</v>
      </c>
      <c r="D455" s="5" t="s">
        <v>1538</v>
      </c>
      <c r="E455" s="5">
        <v>2</v>
      </c>
      <c r="F455" s="5" t="s">
        <v>1268</v>
      </c>
      <c r="G455" s="5">
        <v>1</v>
      </c>
      <c r="H455" s="5">
        <v>749</v>
      </c>
      <c r="I455" s="5" t="s">
        <v>1227</v>
      </c>
      <c r="J455" s="5" t="str">
        <f t="shared" si="7"/>
        <v>RETAIL</v>
      </c>
    </row>
    <row r="456" spans="1:10" x14ac:dyDescent="0.25">
      <c r="A456" s="5">
        <v>5455</v>
      </c>
      <c r="B456" s="6">
        <v>45849</v>
      </c>
      <c r="C456" s="5" t="s">
        <v>374</v>
      </c>
      <c r="D456" s="5" t="s">
        <v>1538</v>
      </c>
      <c r="E456" s="5">
        <v>5</v>
      </c>
      <c r="F456" s="5" t="s">
        <v>1269</v>
      </c>
      <c r="G456" s="5">
        <v>46</v>
      </c>
      <c r="H456" s="5">
        <v>107.82</v>
      </c>
      <c r="I456" s="5" t="s">
        <v>1228</v>
      </c>
      <c r="J456" s="5" t="str">
        <f t="shared" si="7"/>
        <v>BULK/HOSPITALS</v>
      </c>
    </row>
    <row r="457" spans="1:10" x14ac:dyDescent="0.25">
      <c r="A457" s="5">
        <v>5456</v>
      </c>
      <c r="B457" s="6">
        <v>45849</v>
      </c>
      <c r="C457" s="5" t="s">
        <v>375</v>
      </c>
      <c r="D457" s="5" t="s">
        <v>1538</v>
      </c>
      <c r="E457" s="5">
        <v>5</v>
      </c>
      <c r="F457" s="5" t="s">
        <v>1126</v>
      </c>
      <c r="G457" s="5">
        <v>10</v>
      </c>
      <c r="H457" s="5">
        <v>30</v>
      </c>
      <c r="I457" s="5" t="s">
        <v>1227</v>
      </c>
      <c r="J457" s="5" t="str">
        <f t="shared" si="7"/>
        <v>REGULAR</v>
      </c>
    </row>
    <row r="458" spans="1:10" x14ac:dyDescent="0.25">
      <c r="A458" s="5">
        <v>5457</v>
      </c>
      <c r="B458" s="6">
        <v>45849</v>
      </c>
      <c r="C458" s="5" t="s">
        <v>376</v>
      </c>
      <c r="D458" s="5" t="s">
        <v>1535</v>
      </c>
      <c r="E458" s="5">
        <v>7</v>
      </c>
      <c r="F458" s="5" t="s">
        <v>1270</v>
      </c>
      <c r="G458" s="5">
        <v>70</v>
      </c>
      <c r="H458" s="5">
        <v>1478.82</v>
      </c>
      <c r="I458" s="5" t="s">
        <v>880</v>
      </c>
      <c r="J458" s="5" t="str">
        <f t="shared" si="7"/>
        <v>BULK/HOSPITALS</v>
      </c>
    </row>
    <row r="459" spans="1:10" x14ac:dyDescent="0.25">
      <c r="A459" s="5">
        <v>5458</v>
      </c>
      <c r="B459" s="6">
        <v>45849</v>
      </c>
      <c r="C459" s="5" t="s">
        <v>377</v>
      </c>
      <c r="D459" s="5" t="s">
        <v>1535</v>
      </c>
      <c r="E459" s="5">
        <v>5</v>
      </c>
      <c r="F459" s="5" t="s">
        <v>1271</v>
      </c>
      <c r="G459" s="5">
        <v>15</v>
      </c>
      <c r="H459" s="5">
        <v>105.63</v>
      </c>
      <c r="I459" s="5" t="s">
        <v>822</v>
      </c>
      <c r="J459" s="5" t="str">
        <f t="shared" si="7"/>
        <v>REGULAR</v>
      </c>
    </row>
    <row r="460" spans="1:10" x14ac:dyDescent="0.25">
      <c r="A460" s="5">
        <v>5459</v>
      </c>
      <c r="B460" s="6">
        <v>45850</v>
      </c>
      <c r="C460" s="5" t="s">
        <v>378</v>
      </c>
      <c r="D460" s="5" t="s">
        <v>1538</v>
      </c>
      <c r="E460" s="5">
        <v>2</v>
      </c>
      <c r="F460" s="5" t="s">
        <v>1272</v>
      </c>
      <c r="G460" s="5">
        <v>1</v>
      </c>
      <c r="H460" s="5">
        <v>350</v>
      </c>
      <c r="I460" s="5" t="s">
        <v>893</v>
      </c>
      <c r="J460" s="5" t="str">
        <f t="shared" si="7"/>
        <v>RETAIL</v>
      </c>
    </row>
    <row r="461" spans="1:10" x14ac:dyDescent="0.25">
      <c r="A461" s="5">
        <v>5460</v>
      </c>
      <c r="B461" s="6">
        <v>45850</v>
      </c>
      <c r="C461" s="5" t="s">
        <v>379</v>
      </c>
      <c r="D461" s="5" t="s">
        <v>1538</v>
      </c>
      <c r="E461" s="5">
        <v>2</v>
      </c>
      <c r="F461" s="5" t="s">
        <v>1273</v>
      </c>
      <c r="G461" s="5">
        <v>1</v>
      </c>
      <c r="H461" s="5">
        <v>218</v>
      </c>
      <c r="I461" s="5" t="s">
        <v>1229</v>
      </c>
      <c r="J461" s="5" t="str">
        <f t="shared" si="7"/>
        <v>RETAIL</v>
      </c>
    </row>
    <row r="462" spans="1:10" x14ac:dyDescent="0.25">
      <c r="A462" s="5">
        <v>5461</v>
      </c>
      <c r="B462" s="6">
        <v>45850</v>
      </c>
      <c r="C462" s="5" t="s">
        <v>380</v>
      </c>
      <c r="D462" s="5" t="s">
        <v>1535</v>
      </c>
      <c r="E462" s="5">
        <v>10</v>
      </c>
      <c r="F462" s="5" t="s">
        <v>1274</v>
      </c>
      <c r="G462" s="5">
        <v>120</v>
      </c>
      <c r="H462" s="5">
        <v>2160</v>
      </c>
      <c r="I462" s="5" t="s">
        <v>1230</v>
      </c>
      <c r="J462" s="5" t="str">
        <f t="shared" si="7"/>
        <v>BULK/HOSPITALS</v>
      </c>
    </row>
    <row r="463" spans="1:10" x14ac:dyDescent="0.25">
      <c r="A463" s="5">
        <v>5462</v>
      </c>
      <c r="B463" s="6">
        <v>45850</v>
      </c>
      <c r="C463" s="5" t="s">
        <v>381</v>
      </c>
      <c r="D463" s="5" t="s">
        <v>1538</v>
      </c>
      <c r="E463" s="5">
        <v>2</v>
      </c>
      <c r="F463" s="5" t="s">
        <v>1275</v>
      </c>
      <c r="G463" s="5">
        <v>1</v>
      </c>
      <c r="H463" s="5">
        <v>216</v>
      </c>
      <c r="I463" s="5" t="s">
        <v>1231</v>
      </c>
      <c r="J463" s="5" t="str">
        <f t="shared" si="7"/>
        <v>RETAIL</v>
      </c>
    </row>
    <row r="464" spans="1:10" x14ac:dyDescent="0.25">
      <c r="A464" s="5">
        <v>5463</v>
      </c>
      <c r="B464" s="6">
        <v>45850</v>
      </c>
      <c r="C464" s="5" t="s">
        <v>382</v>
      </c>
      <c r="D464" s="5" t="s">
        <v>1538</v>
      </c>
      <c r="E464" s="5">
        <v>2</v>
      </c>
      <c r="F464" s="5" t="s">
        <v>1276</v>
      </c>
      <c r="G464" s="5">
        <v>3</v>
      </c>
      <c r="H464" s="5">
        <v>1785</v>
      </c>
      <c r="I464" s="5" t="s">
        <v>1232</v>
      </c>
      <c r="J464" s="5" t="str">
        <f t="shared" si="7"/>
        <v>REGULAR</v>
      </c>
    </row>
    <row r="465" spans="1:10" x14ac:dyDescent="0.25">
      <c r="A465" s="5">
        <v>5464</v>
      </c>
      <c r="B465" s="6">
        <v>45851</v>
      </c>
      <c r="C465" s="5" t="s">
        <v>383</v>
      </c>
      <c r="D465" s="5" t="s">
        <v>1538</v>
      </c>
      <c r="E465" s="5">
        <v>2</v>
      </c>
      <c r="F465" s="5" t="s">
        <v>1277</v>
      </c>
      <c r="G465" s="5">
        <v>5</v>
      </c>
      <c r="H465" s="5">
        <v>2075</v>
      </c>
      <c r="I465" s="5" t="s">
        <v>1233</v>
      </c>
      <c r="J465" s="5" t="str">
        <f t="shared" si="7"/>
        <v>REGULAR</v>
      </c>
    </row>
    <row r="466" spans="1:10" x14ac:dyDescent="0.25">
      <c r="A466" s="5">
        <v>5465</v>
      </c>
      <c r="B466" s="6">
        <v>45851</v>
      </c>
      <c r="C466" s="5" t="s">
        <v>384</v>
      </c>
      <c r="D466" s="5" t="s">
        <v>1539</v>
      </c>
      <c r="E466" s="5">
        <v>2</v>
      </c>
      <c r="F466" s="5" t="s">
        <v>1278</v>
      </c>
      <c r="G466" s="5">
        <v>1</v>
      </c>
      <c r="H466" s="5">
        <v>37.950000000000003</v>
      </c>
      <c r="I466" s="5" t="s">
        <v>1234</v>
      </c>
      <c r="J466" s="5" t="str">
        <f t="shared" si="7"/>
        <v>RETAIL</v>
      </c>
    </row>
    <row r="467" spans="1:10" x14ac:dyDescent="0.25">
      <c r="A467" s="5">
        <v>5466</v>
      </c>
      <c r="B467" s="6">
        <v>45851</v>
      </c>
      <c r="C467" s="5" t="s">
        <v>385</v>
      </c>
      <c r="D467" s="5" t="s">
        <v>1538</v>
      </c>
      <c r="E467" s="5">
        <v>2</v>
      </c>
      <c r="F467" s="5" t="s">
        <v>1279</v>
      </c>
      <c r="G467" s="5">
        <v>1</v>
      </c>
      <c r="H467" s="5">
        <v>37.950000000000003</v>
      </c>
      <c r="I467" s="5" t="s">
        <v>1234</v>
      </c>
      <c r="J467" s="5" t="str">
        <f t="shared" si="7"/>
        <v>RETAIL</v>
      </c>
    </row>
    <row r="468" spans="1:10" x14ac:dyDescent="0.25">
      <c r="A468" s="5">
        <v>5467</v>
      </c>
      <c r="B468" s="6">
        <v>45852</v>
      </c>
      <c r="C468" s="5" t="s">
        <v>386</v>
      </c>
      <c r="D468" s="5" t="s">
        <v>1538</v>
      </c>
      <c r="E468" s="5">
        <v>2</v>
      </c>
      <c r="F468" s="5" t="s">
        <v>1325</v>
      </c>
      <c r="G468" s="5">
        <v>1</v>
      </c>
      <c r="H468" s="5">
        <v>328.96</v>
      </c>
      <c r="I468" s="5" t="s">
        <v>1280</v>
      </c>
      <c r="J468" s="5" t="str">
        <f t="shared" si="7"/>
        <v>RETAIL</v>
      </c>
    </row>
    <row r="469" spans="1:10" x14ac:dyDescent="0.25">
      <c r="A469" s="5">
        <v>5468</v>
      </c>
      <c r="B469" s="6">
        <v>45852</v>
      </c>
      <c r="C469" s="5" t="s">
        <v>387</v>
      </c>
      <c r="D469" s="5" t="s">
        <v>1538</v>
      </c>
      <c r="E469" s="5">
        <v>2</v>
      </c>
      <c r="F469" s="5" t="s">
        <v>1326</v>
      </c>
      <c r="G469" s="5">
        <v>7</v>
      </c>
      <c r="H469" s="5">
        <v>964.32</v>
      </c>
      <c r="I469" s="5" t="s">
        <v>1340</v>
      </c>
      <c r="J469" s="5" t="str">
        <f t="shared" si="7"/>
        <v>REGULAR</v>
      </c>
    </row>
    <row r="470" spans="1:10" x14ac:dyDescent="0.25">
      <c r="A470" s="5">
        <v>5469</v>
      </c>
      <c r="B470" s="6">
        <v>45852</v>
      </c>
      <c r="C470" s="5" t="s">
        <v>388</v>
      </c>
      <c r="D470" s="5" t="s">
        <v>1538</v>
      </c>
      <c r="E470" s="5">
        <v>5</v>
      </c>
      <c r="F470" s="5" t="s">
        <v>1295</v>
      </c>
      <c r="G470" s="5">
        <v>37</v>
      </c>
      <c r="H470" s="5">
        <v>16076.64</v>
      </c>
      <c r="I470" s="5" t="s">
        <v>1341</v>
      </c>
      <c r="J470" s="5" t="str">
        <f t="shared" si="7"/>
        <v>BULK/HOSPITALS</v>
      </c>
    </row>
    <row r="471" spans="1:10" x14ac:dyDescent="0.25">
      <c r="A471" s="5">
        <v>5470</v>
      </c>
      <c r="B471" s="6">
        <v>45852</v>
      </c>
      <c r="C471" s="5" t="s">
        <v>389</v>
      </c>
      <c r="D471" s="5" t="s">
        <v>1538</v>
      </c>
      <c r="E471" s="5">
        <v>2</v>
      </c>
      <c r="F471" s="5" t="s">
        <v>1296</v>
      </c>
      <c r="G471" s="5">
        <v>4</v>
      </c>
      <c r="H471" s="5">
        <v>975</v>
      </c>
      <c r="I471" s="5" t="s">
        <v>1206</v>
      </c>
      <c r="J471" s="5" t="str">
        <f t="shared" si="7"/>
        <v>REGULAR</v>
      </c>
    </row>
    <row r="472" spans="1:10" x14ac:dyDescent="0.25">
      <c r="A472" s="5">
        <v>5471</v>
      </c>
      <c r="B472" s="6">
        <v>45853</v>
      </c>
      <c r="C472" s="5" t="s">
        <v>390</v>
      </c>
      <c r="D472" s="5" t="s">
        <v>1538</v>
      </c>
      <c r="E472" s="5">
        <v>2</v>
      </c>
      <c r="F472" s="5" t="s">
        <v>1327</v>
      </c>
      <c r="G472" s="5">
        <v>2</v>
      </c>
      <c r="H472" s="5">
        <v>500</v>
      </c>
      <c r="I472" s="5" t="s">
        <v>1342</v>
      </c>
      <c r="J472" s="5" t="str">
        <f t="shared" si="7"/>
        <v>RETAIL</v>
      </c>
    </row>
    <row r="473" spans="1:10" x14ac:dyDescent="0.25">
      <c r="A473" s="5">
        <v>5472</v>
      </c>
      <c r="B473" s="6">
        <v>45853</v>
      </c>
      <c r="C473" s="5" t="s">
        <v>391</v>
      </c>
      <c r="D473" s="5" t="s">
        <v>1538</v>
      </c>
      <c r="E473" s="5">
        <v>2</v>
      </c>
      <c r="F473" s="5" t="s">
        <v>1297</v>
      </c>
      <c r="G473" s="5">
        <v>1</v>
      </c>
      <c r="H473" s="5">
        <v>116.7</v>
      </c>
      <c r="I473" s="5" t="s">
        <v>1281</v>
      </c>
      <c r="J473" s="5" t="str">
        <f t="shared" si="7"/>
        <v>RETAIL</v>
      </c>
    </row>
    <row r="474" spans="1:10" x14ac:dyDescent="0.25">
      <c r="A474" s="5">
        <v>5473</v>
      </c>
      <c r="B474" s="6">
        <v>45853</v>
      </c>
      <c r="C474" s="5" t="s">
        <v>392</v>
      </c>
      <c r="D474" s="5" t="s">
        <v>1538</v>
      </c>
      <c r="E474" s="5">
        <v>2</v>
      </c>
      <c r="F474" s="5" t="s">
        <v>1328</v>
      </c>
      <c r="G474" s="5">
        <v>1</v>
      </c>
      <c r="H474" s="5">
        <v>102.85</v>
      </c>
      <c r="I474" s="5" t="s">
        <v>828</v>
      </c>
      <c r="J474" s="5" t="str">
        <f t="shared" si="7"/>
        <v>RETAIL</v>
      </c>
    </row>
    <row r="475" spans="1:10" x14ac:dyDescent="0.25">
      <c r="A475" s="5">
        <v>5474</v>
      </c>
      <c r="B475" s="6">
        <v>45853</v>
      </c>
      <c r="C475" s="5" t="s">
        <v>393</v>
      </c>
      <c r="D475" s="5" t="s">
        <v>1538</v>
      </c>
      <c r="E475" s="5">
        <v>2</v>
      </c>
      <c r="F475" s="5" t="s">
        <v>1298</v>
      </c>
      <c r="G475" s="5">
        <v>1</v>
      </c>
      <c r="H475" s="5">
        <v>269</v>
      </c>
      <c r="I475" s="5" t="s">
        <v>1282</v>
      </c>
      <c r="J475" s="5" t="str">
        <f t="shared" si="7"/>
        <v>RETAIL</v>
      </c>
    </row>
    <row r="476" spans="1:10" x14ac:dyDescent="0.25">
      <c r="A476" s="5">
        <v>5475</v>
      </c>
      <c r="B476" s="6">
        <v>45853</v>
      </c>
      <c r="C476" s="5" t="s">
        <v>394</v>
      </c>
      <c r="D476" s="5" t="s">
        <v>1538</v>
      </c>
      <c r="E476" s="5">
        <v>2</v>
      </c>
      <c r="F476" s="5" t="s">
        <v>1298</v>
      </c>
      <c r="G476" s="5">
        <v>1</v>
      </c>
      <c r="H476" s="5">
        <v>269</v>
      </c>
      <c r="I476" s="5" t="s">
        <v>1283</v>
      </c>
      <c r="J476" s="5" t="str">
        <f t="shared" si="7"/>
        <v>RETAIL</v>
      </c>
    </row>
    <row r="477" spans="1:10" x14ac:dyDescent="0.25">
      <c r="A477" s="5">
        <v>5476</v>
      </c>
      <c r="B477" s="6">
        <v>45854</v>
      </c>
      <c r="C477" s="5" t="s">
        <v>395</v>
      </c>
      <c r="D477" s="5" t="s">
        <v>1538</v>
      </c>
      <c r="E477" s="5">
        <v>2</v>
      </c>
      <c r="F477" s="5" t="s">
        <v>1299</v>
      </c>
      <c r="G477" s="5">
        <v>1</v>
      </c>
      <c r="H477" s="5">
        <v>599</v>
      </c>
      <c r="I477" s="5" t="s">
        <v>1282</v>
      </c>
      <c r="J477" s="5" t="str">
        <f t="shared" si="7"/>
        <v>RETAIL</v>
      </c>
    </row>
    <row r="478" spans="1:10" x14ac:dyDescent="0.25">
      <c r="A478" s="5">
        <v>5477</v>
      </c>
      <c r="B478" s="6">
        <v>45854</v>
      </c>
      <c r="C478" s="5" t="s">
        <v>396</v>
      </c>
      <c r="D478" s="5" t="s">
        <v>1538</v>
      </c>
      <c r="E478" s="5">
        <v>2</v>
      </c>
      <c r="F478" s="5" t="s">
        <v>1300</v>
      </c>
      <c r="G478" s="5">
        <v>1</v>
      </c>
      <c r="H478" s="5">
        <v>349</v>
      </c>
      <c r="I478" s="5" t="s">
        <v>1283</v>
      </c>
      <c r="J478" s="5" t="str">
        <f t="shared" si="7"/>
        <v>RETAIL</v>
      </c>
    </row>
    <row r="479" spans="1:10" x14ac:dyDescent="0.25">
      <c r="A479" s="5">
        <v>5478</v>
      </c>
      <c r="B479" s="6">
        <v>45854</v>
      </c>
      <c r="C479" s="5" t="s">
        <v>397</v>
      </c>
      <c r="D479" s="5" t="s">
        <v>1538</v>
      </c>
      <c r="E479" s="5">
        <v>2</v>
      </c>
      <c r="F479" s="5" t="s">
        <v>908</v>
      </c>
      <c r="G479" s="5">
        <v>1</v>
      </c>
      <c r="H479" s="5">
        <v>299</v>
      </c>
      <c r="I479" s="5" t="s">
        <v>1283</v>
      </c>
      <c r="J479" s="5" t="str">
        <f t="shared" si="7"/>
        <v>RETAIL</v>
      </c>
    </row>
    <row r="480" spans="1:10" x14ac:dyDescent="0.25">
      <c r="A480" s="5">
        <v>5479</v>
      </c>
      <c r="B480" s="6">
        <v>45856</v>
      </c>
      <c r="C480" s="5" t="s">
        <v>398</v>
      </c>
      <c r="D480" s="5" t="s">
        <v>1538</v>
      </c>
      <c r="E480" s="5">
        <v>2</v>
      </c>
      <c r="F480" s="5" t="s">
        <v>1329</v>
      </c>
      <c r="G480" s="5">
        <v>1</v>
      </c>
      <c r="H480" s="5">
        <v>349</v>
      </c>
      <c r="I480" s="5" t="s">
        <v>1282</v>
      </c>
      <c r="J480" s="5" t="str">
        <f t="shared" si="7"/>
        <v>RETAIL</v>
      </c>
    </row>
    <row r="481" spans="1:10" x14ac:dyDescent="0.25">
      <c r="A481" s="5">
        <v>5480</v>
      </c>
      <c r="B481" s="6">
        <v>45856</v>
      </c>
      <c r="C481" s="5" t="s">
        <v>399</v>
      </c>
      <c r="D481" s="5" t="s">
        <v>1538</v>
      </c>
      <c r="E481" s="5">
        <v>2</v>
      </c>
      <c r="F481" s="5" t="s">
        <v>1298</v>
      </c>
      <c r="G481" s="5">
        <v>5</v>
      </c>
      <c r="H481" s="5">
        <v>1345</v>
      </c>
      <c r="I481" s="5" t="s">
        <v>1282</v>
      </c>
      <c r="J481" s="5" t="str">
        <f t="shared" si="7"/>
        <v>REGULAR</v>
      </c>
    </row>
    <row r="482" spans="1:10" x14ac:dyDescent="0.25">
      <c r="A482" s="5">
        <v>5481</v>
      </c>
      <c r="B482" s="6">
        <v>45856</v>
      </c>
      <c r="C482" s="5" t="s">
        <v>400</v>
      </c>
      <c r="D482" s="5" t="s">
        <v>1538</v>
      </c>
      <c r="E482" s="5">
        <v>2</v>
      </c>
      <c r="F482" s="5" t="s">
        <v>1301</v>
      </c>
      <c r="G482" s="5">
        <v>3</v>
      </c>
      <c r="H482" s="5">
        <v>957</v>
      </c>
      <c r="I482" s="5" t="s">
        <v>1282</v>
      </c>
      <c r="J482" s="5" t="str">
        <f t="shared" si="7"/>
        <v>REGULAR</v>
      </c>
    </row>
    <row r="483" spans="1:10" x14ac:dyDescent="0.25">
      <c r="A483" s="5">
        <v>5482</v>
      </c>
      <c r="B483" s="6">
        <v>45856</v>
      </c>
      <c r="C483" s="5" t="s">
        <v>401</v>
      </c>
      <c r="D483" s="5" t="s">
        <v>1538</v>
      </c>
      <c r="E483" s="5">
        <v>2</v>
      </c>
      <c r="F483" s="5" t="s">
        <v>1302</v>
      </c>
      <c r="G483" s="5">
        <v>1</v>
      </c>
      <c r="H483" s="5">
        <v>499</v>
      </c>
      <c r="I483" s="5" t="s">
        <v>1284</v>
      </c>
      <c r="J483" s="5" t="str">
        <f t="shared" si="7"/>
        <v>RETAIL</v>
      </c>
    </row>
    <row r="484" spans="1:10" x14ac:dyDescent="0.25">
      <c r="A484" s="5">
        <v>5483</v>
      </c>
      <c r="B484" s="6">
        <v>45856</v>
      </c>
      <c r="C484" s="5" t="s">
        <v>402</v>
      </c>
      <c r="D484" s="5" t="s">
        <v>1538</v>
      </c>
      <c r="E484" s="5">
        <v>2</v>
      </c>
      <c r="F484" s="5" t="s">
        <v>1298</v>
      </c>
      <c r="G484" s="5">
        <v>5</v>
      </c>
      <c r="H484" s="5">
        <v>1345</v>
      </c>
      <c r="I484" s="5" t="s">
        <v>1283</v>
      </c>
      <c r="J484" s="5" t="str">
        <f t="shared" si="7"/>
        <v>REGULAR</v>
      </c>
    </row>
    <row r="485" spans="1:10" x14ac:dyDescent="0.25">
      <c r="A485" s="5">
        <v>5484</v>
      </c>
      <c r="B485" s="6">
        <v>45857</v>
      </c>
      <c r="C485" s="5" t="s">
        <v>403</v>
      </c>
      <c r="D485" s="5" t="s">
        <v>1538</v>
      </c>
      <c r="E485" s="5">
        <v>5</v>
      </c>
      <c r="F485" s="5" t="s">
        <v>1303</v>
      </c>
      <c r="G485" s="5">
        <v>14</v>
      </c>
      <c r="H485" s="5">
        <v>5626</v>
      </c>
      <c r="I485" s="5" t="s">
        <v>1282</v>
      </c>
      <c r="J485" s="5" t="str">
        <f t="shared" si="7"/>
        <v>REGULAR</v>
      </c>
    </row>
    <row r="486" spans="1:10" x14ac:dyDescent="0.25">
      <c r="A486" s="5">
        <v>5485</v>
      </c>
      <c r="B486" s="6">
        <v>45857</v>
      </c>
      <c r="C486" s="5" t="s">
        <v>404</v>
      </c>
      <c r="D486" s="5" t="s">
        <v>1538</v>
      </c>
      <c r="E486" s="5">
        <v>5</v>
      </c>
      <c r="F486" s="5" t="s">
        <v>1303</v>
      </c>
      <c r="G486" s="5">
        <v>31</v>
      </c>
      <c r="H486" s="5">
        <v>12609</v>
      </c>
      <c r="I486" s="5" t="s">
        <v>1285</v>
      </c>
      <c r="J486" s="5" t="str">
        <f t="shared" si="7"/>
        <v>BULK/HOSPITALS</v>
      </c>
    </row>
    <row r="487" spans="1:10" x14ac:dyDescent="0.25">
      <c r="A487" s="5">
        <v>5486</v>
      </c>
      <c r="B487" s="6">
        <v>45857</v>
      </c>
      <c r="C487" s="5" t="s">
        <v>405</v>
      </c>
      <c r="D487" s="5" t="s">
        <v>1538</v>
      </c>
      <c r="E487" s="5">
        <v>2</v>
      </c>
      <c r="F487" s="5" t="s">
        <v>1304</v>
      </c>
      <c r="G487" s="5">
        <v>5</v>
      </c>
      <c r="H487" s="5">
        <v>1335</v>
      </c>
      <c r="I487" s="5" t="s">
        <v>1343</v>
      </c>
      <c r="J487" s="5" t="str">
        <f t="shared" si="7"/>
        <v>REGULAR</v>
      </c>
    </row>
    <row r="488" spans="1:10" x14ac:dyDescent="0.25">
      <c r="A488" s="5">
        <v>5487</v>
      </c>
      <c r="B488" s="6">
        <v>45858</v>
      </c>
      <c r="C488" s="5" t="s">
        <v>406</v>
      </c>
      <c r="D488" s="5" t="s">
        <v>1538</v>
      </c>
      <c r="E488" s="5">
        <v>5</v>
      </c>
      <c r="F488" s="5" t="s">
        <v>1330</v>
      </c>
      <c r="G488" s="5">
        <v>30</v>
      </c>
      <c r="H488" s="5">
        <v>387</v>
      </c>
      <c r="I488" s="5" t="s">
        <v>843</v>
      </c>
      <c r="J488" s="5" t="str">
        <f t="shared" si="7"/>
        <v>BULK/HOSPITALS</v>
      </c>
    </row>
    <row r="489" spans="1:10" x14ac:dyDescent="0.25">
      <c r="A489" s="5">
        <v>5488</v>
      </c>
      <c r="B489" s="6">
        <v>45858</v>
      </c>
      <c r="C489" s="5" t="s">
        <v>407</v>
      </c>
      <c r="D489" s="5" t="s">
        <v>1538</v>
      </c>
      <c r="E489" s="5">
        <v>2</v>
      </c>
      <c r="F489" s="5" t="s">
        <v>1305</v>
      </c>
      <c r="G489" s="5">
        <v>1</v>
      </c>
      <c r="H489" s="5">
        <v>530</v>
      </c>
      <c r="I489" s="5" t="s">
        <v>1219</v>
      </c>
      <c r="J489" s="5" t="str">
        <f t="shared" si="7"/>
        <v>RETAIL</v>
      </c>
    </row>
    <row r="490" spans="1:10" x14ac:dyDescent="0.25">
      <c r="A490" s="5">
        <v>5489</v>
      </c>
      <c r="B490" s="6">
        <v>45858</v>
      </c>
      <c r="C490" s="5" t="s">
        <v>408</v>
      </c>
      <c r="D490" s="5" t="s">
        <v>1538</v>
      </c>
      <c r="E490" s="5">
        <v>2</v>
      </c>
      <c r="F490" s="5" t="s">
        <v>1305</v>
      </c>
      <c r="G490" s="5">
        <v>3</v>
      </c>
      <c r="H490" s="5">
        <v>1590</v>
      </c>
      <c r="I490" s="5" t="s">
        <v>1219</v>
      </c>
      <c r="J490" s="5" t="str">
        <f t="shared" si="7"/>
        <v>REGULAR</v>
      </c>
    </row>
    <row r="491" spans="1:10" x14ac:dyDescent="0.25">
      <c r="A491" s="5">
        <v>5490</v>
      </c>
      <c r="B491" s="6">
        <v>45858</v>
      </c>
      <c r="C491" s="5" t="s">
        <v>409</v>
      </c>
      <c r="D491" s="5" t="s">
        <v>1538</v>
      </c>
      <c r="E491" s="5">
        <v>2</v>
      </c>
      <c r="F491" s="5" t="s">
        <v>1331</v>
      </c>
      <c r="G491" s="5">
        <v>2</v>
      </c>
      <c r="H491" s="5">
        <v>70</v>
      </c>
      <c r="I491" s="5" t="s">
        <v>1286</v>
      </c>
      <c r="J491" s="5" t="str">
        <f t="shared" si="7"/>
        <v>RETAIL</v>
      </c>
    </row>
    <row r="492" spans="1:10" x14ac:dyDescent="0.25">
      <c r="A492" s="5">
        <v>5491</v>
      </c>
      <c r="B492" s="6">
        <v>45859</v>
      </c>
      <c r="C492" s="5" t="s">
        <v>410</v>
      </c>
      <c r="D492" s="5" t="s">
        <v>1538</v>
      </c>
      <c r="E492" s="5">
        <v>5</v>
      </c>
      <c r="F492" s="5" t="s">
        <v>1332</v>
      </c>
      <c r="G492" s="5">
        <v>10</v>
      </c>
      <c r="H492" s="5">
        <v>1300</v>
      </c>
      <c r="I492" s="5" t="s">
        <v>1344</v>
      </c>
      <c r="J492" s="5" t="str">
        <f t="shared" si="7"/>
        <v>REGULAR</v>
      </c>
    </row>
    <row r="493" spans="1:10" x14ac:dyDescent="0.25">
      <c r="A493" s="5">
        <v>5492</v>
      </c>
      <c r="B493" s="6">
        <v>45859</v>
      </c>
      <c r="C493" s="5" t="s">
        <v>411</v>
      </c>
      <c r="D493" s="5" t="s">
        <v>1535</v>
      </c>
      <c r="E493" s="5">
        <v>5</v>
      </c>
      <c r="F493" s="5" t="s">
        <v>755</v>
      </c>
      <c r="G493" s="5">
        <v>35</v>
      </c>
      <c r="H493" s="5">
        <v>34.9</v>
      </c>
      <c r="I493" s="5" t="s">
        <v>1287</v>
      </c>
      <c r="J493" s="5" t="str">
        <f t="shared" si="7"/>
        <v>BULK/HOSPITALS</v>
      </c>
    </row>
    <row r="494" spans="1:10" x14ac:dyDescent="0.25">
      <c r="A494" s="5">
        <v>5493</v>
      </c>
      <c r="B494" s="6">
        <v>45859</v>
      </c>
      <c r="C494" s="5" t="s">
        <v>412</v>
      </c>
      <c r="D494" s="5" t="s">
        <v>1535</v>
      </c>
      <c r="E494" s="5">
        <v>10</v>
      </c>
      <c r="F494" s="5" t="s">
        <v>1306</v>
      </c>
      <c r="G494" s="5">
        <v>200</v>
      </c>
      <c r="H494" s="5">
        <v>446.6</v>
      </c>
      <c r="I494" s="5" t="s">
        <v>1287</v>
      </c>
      <c r="J494" s="5" t="str">
        <f t="shared" si="7"/>
        <v>BULK/HOSPITALS</v>
      </c>
    </row>
    <row r="495" spans="1:10" x14ac:dyDescent="0.25">
      <c r="A495" s="5">
        <v>5494</v>
      </c>
      <c r="B495" s="6">
        <v>45859</v>
      </c>
      <c r="C495" s="5" t="s">
        <v>413</v>
      </c>
      <c r="D495" s="5" t="s">
        <v>1535</v>
      </c>
      <c r="E495" s="5">
        <v>7</v>
      </c>
      <c r="F495" s="5" t="s">
        <v>1307</v>
      </c>
      <c r="G495" s="5">
        <v>70</v>
      </c>
      <c r="H495" s="5">
        <v>364</v>
      </c>
      <c r="I495" s="5" t="s">
        <v>1222</v>
      </c>
      <c r="J495" s="5" t="str">
        <f t="shared" si="7"/>
        <v>BULK/HOSPITALS</v>
      </c>
    </row>
    <row r="496" spans="1:10" x14ac:dyDescent="0.25">
      <c r="A496" s="5">
        <v>5495</v>
      </c>
      <c r="B496" s="6">
        <v>45859</v>
      </c>
      <c r="C496" s="5" t="s">
        <v>414</v>
      </c>
      <c r="D496" s="5" t="s">
        <v>1535</v>
      </c>
      <c r="E496" s="5">
        <v>5</v>
      </c>
      <c r="F496" s="5" t="s">
        <v>1308</v>
      </c>
      <c r="G496" s="5">
        <v>10</v>
      </c>
      <c r="H496" s="5">
        <v>90.6</v>
      </c>
      <c r="I496" s="5" t="s">
        <v>1066</v>
      </c>
      <c r="J496" s="5" t="str">
        <f t="shared" si="7"/>
        <v>REGULAR</v>
      </c>
    </row>
    <row r="497" spans="1:10" x14ac:dyDescent="0.25">
      <c r="A497" s="5">
        <v>5496</v>
      </c>
      <c r="B497" s="6">
        <v>45860</v>
      </c>
      <c r="C497" s="5" t="s">
        <v>415</v>
      </c>
      <c r="D497" s="5" t="s">
        <v>1538</v>
      </c>
      <c r="E497" s="5">
        <v>2</v>
      </c>
      <c r="F497" s="5" t="s">
        <v>1333</v>
      </c>
      <c r="G497" s="5">
        <v>7</v>
      </c>
      <c r="H497" s="5">
        <v>70</v>
      </c>
      <c r="I497" s="5" t="s">
        <v>1288</v>
      </c>
      <c r="J497" s="5" t="str">
        <f t="shared" si="7"/>
        <v>REGULAR</v>
      </c>
    </row>
    <row r="498" spans="1:10" x14ac:dyDescent="0.25">
      <c r="A498" s="5">
        <v>5497</v>
      </c>
      <c r="B498" s="6">
        <v>45860</v>
      </c>
      <c r="C498" s="5" t="s">
        <v>416</v>
      </c>
      <c r="D498" s="5" t="s">
        <v>1538</v>
      </c>
      <c r="E498" s="5">
        <v>2</v>
      </c>
      <c r="F498" s="5" t="s">
        <v>1334</v>
      </c>
      <c r="G498" s="5">
        <v>1</v>
      </c>
      <c r="H498" s="5">
        <v>38</v>
      </c>
      <c r="I498" s="5" t="s">
        <v>1288</v>
      </c>
      <c r="J498" s="5" t="str">
        <f t="shared" si="7"/>
        <v>RETAIL</v>
      </c>
    </row>
    <row r="499" spans="1:10" x14ac:dyDescent="0.25">
      <c r="A499" s="5">
        <v>5498</v>
      </c>
      <c r="B499" s="6">
        <v>45860</v>
      </c>
      <c r="C499" s="5" t="s">
        <v>417</v>
      </c>
      <c r="D499" s="5" t="s">
        <v>1538</v>
      </c>
      <c r="E499" s="5">
        <v>2</v>
      </c>
      <c r="F499" s="5" t="s">
        <v>1309</v>
      </c>
      <c r="G499" s="5">
        <v>1</v>
      </c>
      <c r="H499" s="5">
        <v>169.84</v>
      </c>
      <c r="I499" s="5" t="s">
        <v>1289</v>
      </c>
      <c r="J499" s="5" t="str">
        <f t="shared" si="7"/>
        <v>RETAIL</v>
      </c>
    </row>
    <row r="500" spans="1:10" x14ac:dyDescent="0.25">
      <c r="A500" s="5">
        <v>5499</v>
      </c>
      <c r="B500" s="6">
        <v>45861</v>
      </c>
      <c r="C500" s="5" t="s">
        <v>418</v>
      </c>
      <c r="D500" s="5" t="s">
        <v>1535</v>
      </c>
      <c r="E500" s="5">
        <v>7</v>
      </c>
      <c r="F500" s="5" t="s">
        <v>1310</v>
      </c>
      <c r="G500" s="5">
        <v>60</v>
      </c>
      <c r="H500" s="5">
        <v>1334.04</v>
      </c>
      <c r="I500" s="5" t="s">
        <v>1290</v>
      </c>
      <c r="J500" s="5" t="str">
        <f t="shared" si="7"/>
        <v>BULK/HOSPITALS</v>
      </c>
    </row>
    <row r="501" spans="1:10" x14ac:dyDescent="0.25">
      <c r="A501" s="5">
        <v>5500</v>
      </c>
      <c r="B501" s="6">
        <v>45861</v>
      </c>
      <c r="C501" s="5" t="s">
        <v>419</v>
      </c>
      <c r="D501" s="5" t="s">
        <v>1535</v>
      </c>
      <c r="E501" s="5">
        <v>5</v>
      </c>
      <c r="F501" s="5" t="s">
        <v>1311</v>
      </c>
      <c r="G501" s="5">
        <v>10</v>
      </c>
      <c r="H501" s="5">
        <v>88</v>
      </c>
      <c r="I501" s="5" t="s">
        <v>829</v>
      </c>
      <c r="J501" s="5" t="str">
        <f t="shared" si="7"/>
        <v>REGULAR</v>
      </c>
    </row>
    <row r="502" spans="1:10" x14ac:dyDescent="0.25">
      <c r="A502" s="5">
        <v>5501</v>
      </c>
      <c r="B502" s="6">
        <v>45861</v>
      </c>
      <c r="C502" s="5" t="s">
        <v>420</v>
      </c>
      <c r="D502" s="5" t="s">
        <v>1539</v>
      </c>
      <c r="E502" s="5">
        <v>2</v>
      </c>
      <c r="F502" s="5" t="s">
        <v>1312</v>
      </c>
      <c r="G502" s="5">
        <v>1</v>
      </c>
      <c r="H502" s="5">
        <v>424.59</v>
      </c>
      <c r="I502" s="5" t="s">
        <v>1174</v>
      </c>
      <c r="J502" s="5" t="str">
        <f t="shared" si="7"/>
        <v>RETAIL</v>
      </c>
    </row>
    <row r="503" spans="1:10" x14ac:dyDescent="0.25">
      <c r="A503" s="5">
        <v>5502</v>
      </c>
      <c r="B503" s="6">
        <v>45861</v>
      </c>
      <c r="C503" s="5" t="s">
        <v>421</v>
      </c>
      <c r="D503" s="5" t="s">
        <v>1538</v>
      </c>
      <c r="E503" s="5">
        <v>2</v>
      </c>
      <c r="F503" s="5" t="s">
        <v>1335</v>
      </c>
      <c r="G503" s="5">
        <v>6</v>
      </c>
      <c r="H503" s="5">
        <v>1923</v>
      </c>
      <c r="I503" s="5" t="s">
        <v>1071</v>
      </c>
      <c r="J503" s="5" t="str">
        <f t="shared" si="7"/>
        <v>REGULAR</v>
      </c>
    </row>
    <row r="504" spans="1:10" x14ac:dyDescent="0.25">
      <c r="A504" s="5">
        <v>5503</v>
      </c>
      <c r="B504" s="6">
        <v>45863</v>
      </c>
      <c r="C504" s="5" t="s">
        <v>422</v>
      </c>
      <c r="D504" s="5" t="s">
        <v>1538</v>
      </c>
      <c r="E504" s="5">
        <v>2</v>
      </c>
      <c r="F504" s="5" t="s">
        <v>1336</v>
      </c>
      <c r="G504" s="5">
        <v>1</v>
      </c>
      <c r="H504" s="5">
        <v>341.5</v>
      </c>
      <c r="I504" s="5" t="s">
        <v>1071</v>
      </c>
      <c r="J504" s="5" t="str">
        <f t="shared" si="7"/>
        <v>RETAIL</v>
      </c>
    </row>
    <row r="505" spans="1:10" x14ac:dyDescent="0.25">
      <c r="A505" s="5">
        <v>5504</v>
      </c>
      <c r="B505" s="6">
        <v>45863</v>
      </c>
      <c r="C505" s="5" t="s">
        <v>423</v>
      </c>
      <c r="D505" s="5" t="s">
        <v>1535</v>
      </c>
      <c r="E505" s="5">
        <v>5</v>
      </c>
      <c r="F505" s="5" t="s">
        <v>1313</v>
      </c>
      <c r="G505" s="5">
        <v>10</v>
      </c>
      <c r="H505" s="5">
        <v>225</v>
      </c>
      <c r="I505" s="5" t="s">
        <v>1291</v>
      </c>
      <c r="J505" s="5" t="str">
        <f t="shared" si="7"/>
        <v>REGULAR</v>
      </c>
    </row>
    <row r="506" spans="1:10" x14ac:dyDescent="0.25">
      <c r="A506" s="5">
        <v>5505</v>
      </c>
      <c r="B506" s="6">
        <v>45863</v>
      </c>
      <c r="C506" s="5" t="s">
        <v>424</v>
      </c>
      <c r="D506" s="5" t="s">
        <v>1539</v>
      </c>
      <c r="E506" s="5">
        <v>2</v>
      </c>
      <c r="F506" s="5" t="s">
        <v>1314</v>
      </c>
      <c r="G506" s="5">
        <v>2</v>
      </c>
      <c r="H506" s="5">
        <v>142.16</v>
      </c>
      <c r="I506" s="5" t="s">
        <v>1292</v>
      </c>
      <c r="J506" s="5" t="str">
        <f t="shared" si="7"/>
        <v>RETAIL</v>
      </c>
    </row>
    <row r="507" spans="1:10" x14ac:dyDescent="0.25">
      <c r="A507" s="5">
        <v>5506</v>
      </c>
      <c r="B507" s="6">
        <v>45864</v>
      </c>
      <c r="C507" s="5" t="s">
        <v>425</v>
      </c>
      <c r="D507" s="5" t="s">
        <v>1535</v>
      </c>
      <c r="E507" s="5">
        <v>7</v>
      </c>
      <c r="F507" s="5" t="s">
        <v>1315</v>
      </c>
      <c r="G507" s="5">
        <v>70</v>
      </c>
      <c r="H507" s="5">
        <v>1505</v>
      </c>
      <c r="I507" s="5" t="s">
        <v>1292</v>
      </c>
      <c r="J507" s="5" t="str">
        <f t="shared" si="7"/>
        <v>BULK/HOSPITALS</v>
      </c>
    </row>
    <row r="508" spans="1:10" x14ac:dyDescent="0.25">
      <c r="A508" s="5">
        <v>5507</v>
      </c>
      <c r="B508" s="6">
        <v>45864</v>
      </c>
      <c r="C508" s="5" t="s">
        <v>426</v>
      </c>
      <c r="D508" s="5" t="s">
        <v>1535</v>
      </c>
      <c r="E508" s="5">
        <v>5</v>
      </c>
      <c r="F508" s="5" t="s">
        <v>1316</v>
      </c>
      <c r="G508" s="5">
        <v>15</v>
      </c>
      <c r="H508" s="5">
        <v>276.2</v>
      </c>
      <c r="I508" s="5" t="s">
        <v>825</v>
      </c>
      <c r="J508" s="5" t="str">
        <f t="shared" si="7"/>
        <v>REGULAR</v>
      </c>
    </row>
    <row r="509" spans="1:10" x14ac:dyDescent="0.25">
      <c r="A509" s="5">
        <v>5508</v>
      </c>
      <c r="B509" s="6">
        <v>45864</v>
      </c>
      <c r="C509" s="5" t="s">
        <v>427</v>
      </c>
      <c r="D509" s="5" t="s">
        <v>1535</v>
      </c>
      <c r="E509" s="5">
        <v>5</v>
      </c>
      <c r="F509" s="5" t="s">
        <v>1317</v>
      </c>
      <c r="G509" s="5">
        <v>10</v>
      </c>
      <c r="H509" s="5">
        <v>269.26</v>
      </c>
      <c r="I509" s="5" t="s">
        <v>825</v>
      </c>
      <c r="J509" s="5" t="str">
        <f t="shared" si="7"/>
        <v>REGULAR</v>
      </c>
    </row>
    <row r="510" spans="1:10" x14ac:dyDescent="0.25">
      <c r="A510" s="5">
        <v>5509</v>
      </c>
      <c r="B510" s="6">
        <v>45864</v>
      </c>
      <c r="C510" s="5" t="s">
        <v>428</v>
      </c>
      <c r="D510" s="5" t="s">
        <v>1535</v>
      </c>
      <c r="E510" s="5">
        <v>5</v>
      </c>
      <c r="F510" s="5" t="s">
        <v>1318</v>
      </c>
      <c r="G510" s="5">
        <v>18</v>
      </c>
      <c r="H510" s="5">
        <v>463.07</v>
      </c>
      <c r="I510" s="5" t="s">
        <v>825</v>
      </c>
      <c r="J510" s="5" t="str">
        <f t="shared" si="7"/>
        <v>REGULAR</v>
      </c>
    </row>
    <row r="511" spans="1:10" x14ac:dyDescent="0.25">
      <c r="A511" s="5">
        <v>5510</v>
      </c>
      <c r="B511" s="6">
        <v>45865</v>
      </c>
      <c r="C511" s="5" t="s">
        <v>429</v>
      </c>
      <c r="D511" s="5" t="s">
        <v>1535</v>
      </c>
      <c r="E511" s="5">
        <v>5</v>
      </c>
      <c r="F511" s="5" t="s">
        <v>1337</v>
      </c>
      <c r="G511" s="5">
        <v>20</v>
      </c>
      <c r="H511" s="5">
        <v>439.81</v>
      </c>
      <c r="I511" s="5" t="s">
        <v>1293</v>
      </c>
      <c r="J511" s="5" t="str">
        <f t="shared" si="7"/>
        <v>REGULAR</v>
      </c>
    </row>
    <row r="512" spans="1:10" x14ac:dyDescent="0.25">
      <c r="A512" s="5">
        <v>5511</v>
      </c>
      <c r="B512" s="6">
        <v>45865</v>
      </c>
      <c r="C512" s="5" t="s">
        <v>430</v>
      </c>
      <c r="D512" s="5" t="s">
        <v>1535</v>
      </c>
      <c r="E512" s="5">
        <v>5</v>
      </c>
      <c r="F512" s="5" t="s">
        <v>1338</v>
      </c>
      <c r="G512" s="5">
        <v>20</v>
      </c>
      <c r="H512" s="5">
        <v>280</v>
      </c>
      <c r="I512" s="5" t="s">
        <v>1293</v>
      </c>
      <c r="J512" s="5" t="str">
        <f t="shared" si="7"/>
        <v>REGULAR</v>
      </c>
    </row>
    <row r="513" spans="1:10" x14ac:dyDescent="0.25">
      <c r="A513" s="5">
        <v>5512</v>
      </c>
      <c r="B513" s="6">
        <v>45865</v>
      </c>
      <c r="C513" s="5" t="s">
        <v>431</v>
      </c>
      <c r="D513" s="5" t="s">
        <v>1535</v>
      </c>
      <c r="E513" s="5">
        <v>5</v>
      </c>
      <c r="F513" s="5" t="s">
        <v>1339</v>
      </c>
      <c r="G513" s="5">
        <v>22</v>
      </c>
      <c r="H513" s="5">
        <v>542.21</v>
      </c>
      <c r="I513" s="5" t="s">
        <v>1293</v>
      </c>
      <c r="J513" s="5" t="str">
        <f t="shared" si="7"/>
        <v>BULK/HOSPITALS</v>
      </c>
    </row>
    <row r="514" spans="1:10" x14ac:dyDescent="0.25">
      <c r="A514" s="5">
        <v>5513</v>
      </c>
      <c r="B514" s="6">
        <v>45865</v>
      </c>
      <c r="C514" s="5" t="s">
        <v>432</v>
      </c>
      <c r="D514" s="5" t="s">
        <v>1535</v>
      </c>
      <c r="E514" s="5">
        <v>10</v>
      </c>
      <c r="F514" s="5" t="s">
        <v>1319</v>
      </c>
      <c r="G514" s="5">
        <v>650</v>
      </c>
      <c r="H514" s="5">
        <v>16418.150000000001</v>
      </c>
      <c r="I514" s="5" t="s">
        <v>1345</v>
      </c>
      <c r="J514" s="5" t="str">
        <f t="shared" si="7"/>
        <v>BULK/HOSPITALS</v>
      </c>
    </row>
    <row r="515" spans="1:10" x14ac:dyDescent="0.25">
      <c r="A515" s="5">
        <v>5514</v>
      </c>
      <c r="B515" s="6">
        <v>45865</v>
      </c>
      <c r="C515" s="5" t="s">
        <v>433</v>
      </c>
      <c r="D515" s="5" t="s">
        <v>1535</v>
      </c>
      <c r="E515" s="5">
        <v>5</v>
      </c>
      <c r="F515" s="5" t="s">
        <v>1320</v>
      </c>
      <c r="G515" s="5">
        <v>10</v>
      </c>
      <c r="H515" s="5">
        <v>99.9</v>
      </c>
      <c r="I515" s="5" t="s">
        <v>834</v>
      </c>
      <c r="J515" s="5" t="str">
        <f t="shared" ref="J515:J578" si="8">IF(G515&lt;=2,"RETAIL",IF(G515&lt;=20,"REGULAR",IF(G515&gt;20,"BULK/HOSPITALS")))</f>
        <v>REGULAR</v>
      </c>
    </row>
    <row r="516" spans="1:10" x14ac:dyDescent="0.25">
      <c r="A516" s="5">
        <v>5515</v>
      </c>
      <c r="B516" s="6">
        <v>45866</v>
      </c>
      <c r="C516" s="5" t="s">
        <v>434</v>
      </c>
      <c r="D516" s="5" t="s">
        <v>1538</v>
      </c>
      <c r="E516" s="5">
        <v>2</v>
      </c>
      <c r="F516" s="5" t="s">
        <v>1321</v>
      </c>
      <c r="G516" s="5">
        <v>1</v>
      </c>
      <c r="H516" s="5">
        <v>230</v>
      </c>
      <c r="I516" s="5" t="s">
        <v>1294</v>
      </c>
      <c r="J516" s="5" t="str">
        <f t="shared" si="8"/>
        <v>RETAIL</v>
      </c>
    </row>
    <row r="517" spans="1:10" x14ac:dyDescent="0.25">
      <c r="A517" s="5">
        <v>5516</v>
      </c>
      <c r="B517" s="6">
        <v>45866</v>
      </c>
      <c r="C517" s="5" t="s">
        <v>435</v>
      </c>
      <c r="D517" s="5" t="s">
        <v>1538</v>
      </c>
      <c r="E517" s="5">
        <v>2</v>
      </c>
      <c r="F517" s="5" t="s">
        <v>1322</v>
      </c>
      <c r="G517" s="5">
        <v>1</v>
      </c>
      <c r="H517" s="5">
        <v>66</v>
      </c>
      <c r="I517" s="5" t="s">
        <v>893</v>
      </c>
      <c r="J517" s="5" t="str">
        <f t="shared" si="8"/>
        <v>RETAIL</v>
      </c>
    </row>
    <row r="518" spans="1:10" x14ac:dyDescent="0.25">
      <c r="A518" s="5">
        <v>5517</v>
      </c>
      <c r="B518" s="6">
        <v>45866</v>
      </c>
      <c r="C518" s="5" t="s">
        <v>436</v>
      </c>
      <c r="D518" s="5" t="s">
        <v>1538</v>
      </c>
      <c r="E518" s="5">
        <v>5</v>
      </c>
      <c r="F518" s="5" t="s">
        <v>1323</v>
      </c>
      <c r="G518" s="5">
        <v>22</v>
      </c>
      <c r="H518" s="5">
        <v>3868</v>
      </c>
      <c r="I518" s="5" t="s">
        <v>893</v>
      </c>
      <c r="J518" s="5" t="str">
        <f t="shared" si="8"/>
        <v>BULK/HOSPITALS</v>
      </c>
    </row>
    <row r="519" spans="1:10" x14ac:dyDescent="0.25">
      <c r="A519" s="5">
        <v>5518</v>
      </c>
      <c r="B519" s="6">
        <v>45867</v>
      </c>
      <c r="C519" s="5" t="s">
        <v>437</v>
      </c>
      <c r="D519" s="5" t="s">
        <v>1538</v>
      </c>
      <c r="E519" s="5">
        <v>2</v>
      </c>
      <c r="F519" s="5" t="s">
        <v>1324</v>
      </c>
      <c r="G519" s="5">
        <v>3</v>
      </c>
      <c r="H519" s="5">
        <v>744</v>
      </c>
      <c r="I519" s="5" t="s">
        <v>893</v>
      </c>
      <c r="J519" s="5" t="str">
        <f t="shared" si="8"/>
        <v>REGULAR</v>
      </c>
    </row>
    <row r="520" spans="1:10" x14ac:dyDescent="0.25">
      <c r="A520" s="5">
        <v>5519</v>
      </c>
      <c r="B520" s="6">
        <v>45867</v>
      </c>
      <c r="C520" s="5" t="s">
        <v>438</v>
      </c>
      <c r="D520" s="5" t="s">
        <v>1538</v>
      </c>
      <c r="E520" s="5">
        <v>2</v>
      </c>
      <c r="F520" s="5" t="s">
        <v>1346</v>
      </c>
      <c r="G520" s="5">
        <v>2</v>
      </c>
      <c r="H520" s="5">
        <v>242</v>
      </c>
      <c r="I520" s="5" t="s">
        <v>893</v>
      </c>
      <c r="J520" s="5" t="str">
        <f t="shared" si="8"/>
        <v>RETAIL</v>
      </c>
    </row>
    <row r="521" spans="1:10" x14ac:dyDescent="0.25">
      <c r="A521" s="5">
        <v>5520</v>
      </c>
      <c r="B521" s="6">
        <v>45867</v>
      </c>
      <c r="C521" s="5" t="s">
        <v>439</v>
      </c>
      <c r="D521" s="5" t="s">
        <v>1538</v>
      </c>
      <c r="E521" s="5">
        <v>2</v>
      </c>
      <c r="F521" s="5" t="s">
        <v>1347</v>
      </c>
      <c r="G521" s="5">
        <v>1</v>
      </c>
      <c r="H521" s="5">
        <v>277.5</v>
      </c>
      <c r="I521" s="5" t="s">
        <v>957</v>
      </c>
      <c r="J521" s="5" t="str">
        <f t="shared" si="8"/>
        <v>RETAIL</v>
      </c>
    </row>
    <row r="522" spans="1:10" x14ac:dyDescent="0.25">
      <c r="A522" s="5">
        <v>5521</v>
      </c>
      <c r="B522" s="6">
        <v>45901</v>
      </c>
      <c r="C522" s="5" t="s">
        <v>440</v>
      </c>
      <c r="D522" s="5" t="s">
        <v>1538</v>
      </c>
      <c r="E522" s="5">
        <v>2</v>
      </c>
      <c r="F522" s="5" t="s">
        <v>1348</v>
      </c>
      <c r="G522" s="5">
        <v>6</v>
      </c>
      <c r="H522" s="5">
        <v>1380</v>
      </c>
      <c r="I522" s="5" t="s">
        <v>893</v>
      </c>
      <c r="J522" s="5" t="str">
        <f t="shared" si="8"/>
        <v>REGULAR</v>
      </c>
    </row>
    <row r="523" spans="1:10" x14ac:dyDescent="0.25">
      <c r="A523" s="5">
        <v>5522</v>
      </c>
      <c r="B523" s="6">
        <v>45901</v>
      </c>
      <c r="C523" s="5" t="s">
        <v>441</v>
      </c>
      <c r="D523" s="5" t="s">
        <v>1538</v>
      </c>
      <c r="E523" s="5">
        <v>2</v>
      </c>
      <c r="F523" s="5" t="s">
        <v>1349</v>
      </c>
      <c r="G523" s="5">
        <v>6</v>
      </c>
      <c r="H523" s="5">
        <v>2149</v>
      </c>
      <c r="I523" s="5" t="s">
        <v>893</v>
      </c>
      <c r="J523" s="5" t="str">
        <f t="shared" si="8"/>
        <v>REGULAR</v>
      </c>
    </row>
    <row r="524" spans="1:10" x14ac:dyDescent="0.25">
      <c r="A524" s="5">
        <v>5523</v>
      </c>
      <c r="B524" s="6">
        <v>45901</v>
      </c>
      <c r="C524" s="5" t="s">
        <v>442</v>
      </c>
      <c r="D524" s="5" t="s">
        <v>1538</v>
      </c>
      <c r="E524" s="5">
        <v>2</v>
      </c>
      <c r="F524" s="5" t="s">
        <v>1350</v>
      </c>
      <c r="G524" s="5">
        <v>1</v>
      </c>
      <c r="H524" s="5">
        <v>247</v>
      </c>
      <c r="I524" s="5" t="s">
        <v>1395</v>
      </c>
      <c r="J524" s="5" t="str">
        <f t="shared" si="8"/>
        <v>RETAIL</v>
      </c>
    </row>
    <row r="525" spans="1:10" x14ac:dyDescent="0.25">
      <c r="A525" s="5">
        <v>5524</v>
      </c>
      <c r="B525" s="6">
        <v>45901</v>
      </c>
      <c r="C525" s="5" t="s">
        <v>443</v>
      </c>
      <c r="D525" s="5" t="s">
        <v>1538</v>
      </c>
      <c r="E525" s="5">
        <v>2</v>
      </c>
      <c r="F525" s="5" t="s">
        <v>1351</v>
      </c>
      <c r="G525" s="5">
        <v>1</v>
      </c>
      <c r="H525" s="5">
        <v>100</v>
      </c>
      <c r="I525" s="5" t="s">
        <v>1396</v>
      </c>
      <c r="J525" s="5" t="str">
        <f t="shared" si="8"/>
        <v>RETAIL</v>
      </c>
    </row>
    <row r="526" spans="1:10" x14ac:dyDescent="0.25">
      <c r="A526" s="5">
        <v>5525</v>
      </c>
      <c r="B526" s="6">
        <v>45901</v>
      </c>
      <c r="C526" s="5" t="s">
        <v>444</v>
      </c>
      <c r="D526" s="5" t="s">
        <v>1538</v>
      </c>
      <c r="E526" s="5">
        <v>2</v>
      </c>
      <c r="F526" s="5" t="s">
        <v>658</v>
      </c>
      <c r="G526" s="5">
        <v>6</v>
      </c>
      <c r="H526" s="5">
        <v>16.399999999999999</v>
      </c>
      <c r="I526" s="5" t="s">
        <v>1397</v>
      </c>
      <c r="J526" s="5" t="str">
        <f t="shared" si="8"/>
        <v>REGULAR</v>
      </c>
    </row>
    <row r="527" spans="1:10" x14ac:dyDescent="0.25">
      <c r="A527" s="5">
        <v>5526</v>
      </c>
      <c r="B527" s="6">
        <v>45902</v>
      </c>
      <c r="C527" s="5" t="s">
        <v>445</v>
      </c>
      <c r="D527" s="5" t="s">
        <v>1538</v>
      </c>
      <c r="E527" s="5">
        <v>5</v>
      </c>
      <c r="F527" s="5" t="s">
        <v>1352</v>
      </c>
      <c r="G527" s="5">
        <v>20</v>
      </c>
      <c r="H527" s="5">
        <v>2677.46</v>
      </c>
      <c r="I527" s="5" t="s">
        <v>1398</v>
      </c>
      <c r="J527" s="5" t="str">
        <f t="shared" si="8"/>
        <v>REGULAR</v>
      </c>
    </row>
    <row r="528" spans="1:10" x14ac:dyDescent="0.25">
      <c r="A528" s="5">
        <v>5527</v>
      </c>
      <c r="B528" s="6">
        <v>45902</v>
      </c>
      <c r="C528" s="5" t="s">
        <v>446</v>
      </c>
      <c r="D528" s="5" t="s">
        <v>1538</v>
      </c>
      <c r="E528" s="5">
        <v>2</v>
      </c>
      <c r="F528" s="5" t="s">
        <v>1353</v>
      </c>
      <c r="G528" s="5">
        <v>5</v>
      </c>
      <c r="H528" s="5">
        <v>740</v>
      </c>
      <c r="I528" s="5" t="s">
        <v>1399</v>
      </c>
      <c r="J528" s="5" t="str">
        <f t="shared" si="8"/>
        <v>REGULAR</v>
      </c>
    </row>
    <row r="529" spans="1:10" x14ac:dyDescent="0.25">
      <c r="A529" s="5">
        <v>5528</v>
      </c>
      <c r="B529" s="6">
        <v>45902</v>
      </c>
      <c r="C529" s="5" t="s">
        <v>447</v>
      </c>
      <c r="D529" s="5" t="s">
        <v>1538</v>
      </c>
      <c r="E529" s="5">
        <v>2</v>
      </c>
      <c r="F529" s="5" t="s">
        <v>1354</v>
      </c>
      <c r="G529" s="5">
        <v>1</v>
      </c>
      <c r="H529" s="5">
        <v>213.04</v>
      </c>
      <c r="I529" s="5" t="s">
        <v>826</v>
      </c>
      <c r="J529" s="5" t="str">
        <f t="shared" si="8"/>
        <v>RETAIL</v>
      </c>
    </row>
    <row r="530" spans="1:10" x14ac:dyDescent="0.25">
      <c r="A530" s="5">
        <v>5529</v>
      </c>
      <c r="B530" s="6">
        <v>45903</v>
      </c>
      <c r="C530" s="5" t="s">
        <v>448</v>
      </c>
      <c r="D530" s="5" t="s">
        <v>1538</v>
      </c>
      <c r="E530" s="5">
        <v>5</v>
      </c>
      <c r="F530" s="5" t="s">
        <v>1355</v>
      </c>
      <c r="G530" s="5">
        <v>15</v>
      </c>
      <c r="H530" s="5">
        <v>3881.79</v>
      </c>
      <c r="I530" s="5" t="s">
        <v>826</v>
      </c>
      <c r="J530" s="5" t="str">
        <f t="shared" si="8"/>
        <v>REGULAR</v>
      </c>
    </row>
    <row r="531" spans="1:10" x14ac:dyDescent="0.25">
      <c r="A531" s="5">
        <v>5530</v>
      </c>
      <c r="B531" s="6">
        <v>45903</v>
      </c>
      <c r="C531" s="5" t="s">
        <v>449</v>
      </c>
      <c r="D531" s="5" t="s">
        <v>1538</v>
      </c>
      <c r="E531" s="5">
        <v>2</v>
      </c>
      <c r="F531" s="5" t="s">
        <v>1356</v>
      </c>
      <c r="G531" s="5">
        <v>1</v>
      </c>
      <c r="H531" s="5">
        <v>130.65</v>
      </c>
      <c r="I531" s="5" t="s">
        <v>1400</v>
      </c>
      <c r="J531" s="5" t="str">
        <f t="shared" si="8"/>
        <v>RETAIL</v>
      </c>
    </row>
    <row r="532" spans="1:10" x14ac:dyDescent="0.25">
      <c r="A532" s="5">
        <v>5531</v>
      </c>
      <c r="B532" s="6">
        <v>45903</v>
      </c>
      <c r="C532" s="5" t="s">
        <v>450</v>
      </c>
      <c r="D532" s="5" t="s">
        <v>1538</v>
      </c>
      <c r="E532" s="5">
        <v>2</v>
      </c>
      <c r="F532" s="5" t="s">
        <v>1357</v>
      </c>
      <c r="G532" s="5">
        <v>3</v>
      </c>
      <c r="H532" s="5">
        <v>449.05</v>
      </c>
      <c r="I532" s="5" t="s">
        <v>1400</v>
      </c>
      <c r="J532" s="5" t="str">
        <f t="shared" si="8"/>
        <v>REGULAR</v>
      </c>
    </row>
    <row r="533" spans="1:10" x14ac:dyDescent="0.25">
      <c r="A533" s="5">
        <v>5532</v>
      </c>
      <c r="B533" s="6">
        <v>45903</v>
      </c>
      <c r="C533" s="5" t="s">
        <v>451</v>
      </c>
      <c r="D533" s="5" t="s">
        <v>1538</v>
      </c>
      <c r="E533" s="5">
        <v>5</v>
      </c>
      <c r="F533" s="5" t="s">
        <v>1358</v>
      </c>
      <c r="G533" s="5">
        <v>10</v>
      </c>
      <c r="H533" s="5">
        <v>290.24</v>
      </c>
      <c r="I533" s="5" t="s">
        <v>1401</v>
      </c>
      <c r="J533" s="5" t="str">
        <f t="shared" si="8"/>
        <v>REGULAR</v>
      </c>
    </row>
    <row r="534" spans="1:10" x14ac:dyDescent="0.25">
      <c r="A534" s="5">
        <v>5533</v>
      </c>
      <c r="B534" s="6">
        <v>45904</v>
      </c>
      <c r="C534" s="5" t="s">
        <v>452</v>
      </c>
      <c r="D534" s="5" t="s">
        <v>1538</v>
      </c>
      <c r="E534" s="5">
        <v>2</v>
      </c>
      <c r="F534" s="5" t="s">
        <v>928</v>
      </c>
      <c r="G534" s="5">
        <v>1</v>
      </c>
      <c r="H534" s="5">
        <v>90</v>
      </c>
      <c r="I534" s="5" t="s">
        <v>1402</v>
      </c>
      <c r="J534" s="5" t="str">
        <f t="shared" si="8"/>
        <v>RETAIL</v>
      </c>
    </row>
    <row r="535" spans="1:10" x14ac:dyDescent="0.25">
      <c r="A535" s="5">
        <v>5534</v>
      </c>
      <c r="B535" s="6">
        <v>45904</v>
      </c>
      <c r="C535" s="5" t="s">
        <v>453</v>
      </c>
      <c r="D535" s="5" t="s">
        <v>1538</v>
      </c>
      <c r="E535" s="5">
        <v>2</v>
      </c>
      <c r="F535" s="5" t="s">
        <v>1359</v>
      </c>
      <c r="G535" s="5">
        <v>6</v>
      </c>
      <c r="H535" s="5">
        <v>402</v>
      </c>
      <c r="I535" s="5" t="s">
        <v>1402</v>
      </c>
      <c r="J535" s="5" t="str">
        <f t="shared" si="8"/>
        <v>REGULAR</v>
      </c>
    </row>
    <row r="536" spans="1:10" x14ac:dyDescent="0.25">
      <c r="A536" s="5">
        <v>5535</v>
      </c>
      <c r="B536" s="6">
        <v>45904</v>
      </c>
      <c r="C536" s="5" t="s">
        <v>454</v>
      </c>
      <c r="D536" s="5" t="s">
        <v>1538</v>
      </c>
      <c r="E536" s="5">
        <v>2</v>
      </c>
      <c r="F536" s="5" t="s">
        <v>1360</v>
      </c>
      <c r="G536" s="5">
        <v>2</v>
      </c>
      <c r="H536" s="5">
        <v>150</v>
      </c>
      <c r="I536" s="5" t="s">
        <v>1402</v>
      </c>
      <c r="J536" s="5" t="str">
        <f t="shared" si="8"/>
        <v>RETAIL</v>
      </c>
    </row>
    <row r="537" spans="1:10" x14ac:dyDescent="0.25">
      <c r="A537" s="5">
        <v>5536</v>
      </c>
      <c r="B537" s="6">
        <v>45904</v>
      </c>
      <c r="C537" s="5" t="s">
        <v>455</v>
      </c>
      <c r="D537" s="5" t="s">
        <v>1538</v>
      </c>
      <c r="E537" s="5">
        <v>5</v>
      </c>
      <c r="F537" s="5" t="s">
        <v>1361</v>
      </c>
      <c r="G537" s="5">
        <v>25</v>
      </c>
      <c r="H537" s="5">
        <v>2990.25</v>
      </c>
      <c r="I537" s="5" t="s">
        <v>1403</v>
      </c>
      <c r="J537" s="5" t="str">
        <f t="shared" si="8"/>
        <v>BULK/HOSPITALS</v>
      </c>
    </row>
    <row r="538" spans="1:10" x14ac:dyDescent="0.25">
      <c r="A538" s="5">
        <v>5537</v>
      </c>
      <c r="B538" s="6">
        <v>45904</v>
      </c>
      <c r="C538" s="5" t="s">
        <v>456</v>
      </c>
      <c r="D538" s="5" t="s">
        <v>1538</v>
      </c>
      <c r="E538" s="5">
        <v>2</v>
      </c>
      <c r="F538" s="5" t="s">
        <v>1362</v>
      </c>
      <c r="G538" s="5">
        <v>5</v>
      </c>
      <c r="H538" s="5">
        <v>599.54999999999995</v>
      </c>
      <c r="I538" s="5" t="s">
        <v>1403</v>
      </c>
      <c r="J538" s="5" t="str">
        <f t="shared" si="8"/>
        <v>REGULAR</v>
      </c>
    </row>
    <row r="539" spans="1:10" x14ac:dyDescent="0.25">
      <c r="A539" s="5">
        <v>5538</v>
      </c>
      <c r="B539" s="6">
        <v>45905</v>
      </c>
      <c r="C539" s="5" t="s">
        <v>457</v>
      </c>
      <c r="D539" s="5" t="s">
        <v>1538</v>
      </c>
      <c r="E539" s="5">
        <v>2</v>
      </c>
      <c r="F539" s="5" t="s">
        <v>1363</v>
      </c>
      <c r="G539" s="5">
        <v>2</v>
      </c>
      <c r="H539" s="5">
        <v>224.84</v>
      </c>
      <c r="I539" s="5" t="s">
        <v>1403</v>
      </c>
      <c r="J539" s="5" t="str">
        <f t="shared" si="8"/>
        <v>RETAIL</v>
      </c>
    </row>
    <row r="540" spans="1:10" x14ac:dyDescent="0.25">
      <c r="A540" s="5">
        <v>5539</v>
      </c>
      <c r="B540" s="6">
        <v>45905</v>
      </c>
      <c r="C540" s="5" t="s">
        <v>458</v>
      </c>
      <c r="D540" s="5" t="s">
        <v>1538</v>
      </c>
      <c r="E540" s="5">
        <v>2</v>
      </c>
      <c r="F540" s="5" t="s">
        <v>1364</v>
      </c>
      <c r="G540" s="5">
        <v>2</v>
      </c>
      <c r="H540" s="5">
        <v>150</v>
      </c>
      <c r="I540" s="5" t="s">
        <v>1404</v>
      </c>
      <c r="J540" s="5" t="str">
        <f t="shared" si="8"/>
        <v>RETAIL</v>
      </c>
    </row>
    <row r="541" spans="1:10" x14ac:dyDescent="0.25">
      <c r="A541" s="5">
        <v>5540</v>
      </c>
      <c r="B541" s="6">
        <v>45905</v>
      </c>
      <c r="C541" s="5" t="s">
        <v>459</v>
      </c>
      <c r="D541" s="5" t="s">
        <v>1538</v>
      </c>
      <c r="E541" s="5">
        <v>2</v>
      </c>
      <c r="F541" s="5" t="s">
        <v>1365</v>
      </c>
      <c r="G541" s="5">
        <v>2</v>
      </c>
      <c r="H541" s="5">
        <v>1220</v>
      </c>
      <c r="I541" s="5" t="s">
        <v>1405</v>
      </c>
      <c r="J541" s="5" t="str">
        <f t="shared" si="8"/>
        <v>RETAIL</v>
      </c>
    </row>
    <row r="542" spans="1:10" x14ac:dyDescent="0.25">
      <c r="A542" s="5">
        <v>5541</v>
      </c>
      <c r="B542" s="6">
        <v>45906</v>
      </c>
      <c r="C542" s="5" t="s">
        <v>460</v>
      </c>
      <c r="D542" s="5" t="s">
        <v>1538</v>
      </c>
      <c r="E542" s="5">
        <v>5</v>
      </c>
      <c r="F542" s="5" t="s">
        <v>1366</v>
      </c>
      <c r="G542" s="5">
        <v>18</v>
      </c>
      <c r="H542" s="5">
        <v>2422.9499999999998</v>
      </c>
      <c r="I542" s="5" t="s">
        <v>1406</v>
      </c>
      <c r="J542" s="5" t="str">
        <f t="shared" si="8"/>
        <v>REGULAR</v>
      </c>
    </row>
    <row r="543" spans="1:10" x14ac:dyDescent="0.25">
      <c r="A543" s="5">
        <v>5542</v>
      </c>
      <c r="B543" s="6">
        <v>45906</v>
      </c>
      <c r="C543" s="5" t="s">
        <v>461</v>
      </c>
      <c r="D543" s="5" t="s">
        <v>1538</v>
      </c>
      <c r="E543" s="5">
        <v>2</v>
      </c>
      <c r="F543" s="5" t="s">
        <v>1367</v>
      </c>
      <c r="G543" s="5">
        <v>2</v>
      </c>
      <c r="H543" s="5">
        <v>214.3</v>
      </c>
      <c r="I543" s="5" t="s">
        <v>1406</v>
      </c>
      <c r="J543" s="5" t="str">
        <f t="shared" si="8"/>
        <v>RETAIL</v>
      </c>
    </row>
    <row r="544" spans="1:10" x14ac:dyDescent="0.25">
      <c r="A544" s="5">
        <v>5543</v>
      </c>
      <c r="B544" s="6">
        <v>45906</v>
      </c>
      <c r="C544" s="5" t="s">
        <v>462</v>
      </c>
      <c r="D544" s="5" t="s">
        <v>1539</v>
      </c>
      <c r="E544" s="5">
        <v>5</v>
      </c>
      <c r="F544" s="5" t="s">
        <v>1368</v>
      </c>
      <c r="G544" s="5">
        <v>14</v>
      </c>
      <c r="H544" s="5">
        <v>288.32</v>
      </c>
      <c r="I544" s="5" t="s">
        <v>1407</v>
      </c>
      <c r="J544" s="5" t="str">
        <f t="shared" si="8"/>
        <v>REGULAR</v>
      </c>
    </row>
    <row r="545" spans="1:10" x14ac:dyDescent="0.25">
      <c r="A545" s="5">
        <v>5544</v>
      </c>
      <c r="B545" s="6">
        <v>45906</v>
      </c>
      <c r="C545" s="5" t="s">
        <v>463</v>
      </c>
      <c r="D545" s="5" t="s">
        <v>1535</v>
      </c>
      <c r="E545" s="5">
        <v>7</v>
      </c>
      <c r="F545" s="5" t="s">
        <v>1369</v>
      </c>
      <c r="G545" s="5">
        <v>55</v>
      </c>
      <c r="H545" s="5">
        <v>84.54</v>
      </c>
      <c r="I545" s="5" t="s">
        <v>1408</v>
      </c>
      <c r="J545" s="5" t="str">
        <f t="shared" si="8"/>
        <v>BULK/HOSPITALS</v>
      </c>
    </row>
    <row r="546" spans="1:10" x14ac:dyDescent="0.25">
      <c r="A546" s="5">
        <v>5545</v>
      </c>
      <c r="B546" s="6">
        <v>45907</v>
      </c>
      <c r="C546" s="5" t="s">
        <v>464</v>
      </c>
      <c r="D546" s="5" t="s">
        <v>1535</v>
      </c>
      <c r="E546" s="5">
        <v>5</v>
      </c>
      <c r="F546" s="5" t="s">
        <v>1370</v>
      </c>
      <c r="G546" s="5">
        <v>30</v>
      </c>
      <c r="H546" s="5">
        <v>597</v>
      </c>
      <c r="I546" s="5" t="s">
        <v>1220</v>
      </c>
      <c r="J546" s="5" t="str">
        <f t="shared" si="8"/>
        <v>BULK/HOSPITALS</v>
      </c>
    </row>
    <row r="547" spans="1:10" x14ac:dyDescent="0.25">
      <c r="A547" s="5">
        <v>5546</v>
      </c>
      <c r="B547" s="6">
        <v>45907</v>
      </c>
      <c r="C547" s="5" t="s">
        <v>465</v>
      </c>
      <c r="D547" s="5" t="s">
        <v>1535</v>
      </c>
      <c r="E547" s="5">
        <v>5</v>
      </c>
      <c r="F547" s="5" t="s">
        <v>1371</v>
      </c>
      <c r="G547" s="5">
        <v>10</v>
      </c>
      <c r="H547" s="5">
        <v>136</v>
      </c>
      <c r="I547" s="5" t="s">
        <v>1220</v>
      </c>
      <c r="J547" s="5" t="str">
        <f t="shared" si="8"/>
        <v>REGULAR</v>
      </c>
    </row>
    <row r="548" spans="1:10" x14ac:dyDescent="0.25">
      <c r="A548" s="5">
        <v>5547</v>
      </c>
      <c r="B548" s="6">
        <v>45907</v>
      </c>
      <c r="C548" s="5" t="s">
        <v>466</v>
      </c>
      <c r="D548" s="5" t="s">
        <v>1535</v>
      </c>
      <c r="E548" s="5">
        <v>5</v>
      </c>
      <c r="F548" s="5" t="s">
        <v>1372</v>
      </c>
      <c r="G548" s="5">
        <v>30</v>
      </c>
      <c r="H548" s="5">
        <v>112.96</v>
      </c>
      <c r="I548" s="5" t="s">
        <v>840</v>
      </c>
      <c r="J548" s="5" t="str">
        <f t="shared" si="8"/>
        <v>BULK/HOSPITALS</v>
      </c>
    </row>
    <row r="549" spans="1:10" x14ac:dyDescent="0.25">
      <c r="A549" s="5">
        <v>5548</v>
      </c>
      <c r="B549" s="6">
        <v>45907</v>
      </c>
      <c r="C549" s="5" t="s">
        <v>467</v>
      </c>
      <c r="D549" s="5" t="s">
        <v>1535</v>
      </c>
      <c r="E549" s="5">
        <v>7</v>
      </c>
      <c r="F549" s="5" t="s">
        <v>1373</v>
      </c>
      <c r="G549" s="5">
        <v>65</v>
      </c>
      <c r="H549" s="5">
        <v>282.43</v>
      </c>
      <c r="I549" s="5" t="s">
        <v>826</v>
      </c>
      <c r="J549" s="5" t="str">
        <f t="shared" si="8"/>
        <v>BULK/HOSPITALS</v>
      </c>
    </row>
    <row r="550" spans="1:10" x14ac:dyDescent="0.25">
      <c r="A550" s="5">
        <v>5549</v>
      </c>
      <c r="B550" s="6">
        <v>45907</v>
      </c>
      <c r="C550" s="5" t="s">
        <v>468</v>
      </c>
      <c r="D550" s="5" t="s">
        <v>1535</v>
      </c>
      <c r="E550" s="5">
        <v>10</v>
      </c>
      <c r="F550" s="5" t="s">
        <v>1374</v>
      </c>
      <c r="G550" s="5">
        <v>600</v>
      </c>
      <c r="H550" s="5">
        <v>4210.8</v>
      </c>
      <c r="I550" s="5" t="s">
        <v>826</v>
      </c>
      <c r="J550" s="5" t="str">
        <f t="shared" si="8"/>
        <v>BULK/HOSPITALS</v>
      </c>
    </row>
    <row r="551" spans="1:10" x14ac:dyDescent="0.25">
      <c r="A551" s="5">
        <v>5550</v>
      </c>
      <c r="B551" s="6">
        <v>45908</v>
      </c>
      <c r="C551" s="5" t="s">
        <v>469</v>
      </c>
      <c r="D551" s="5" t="s">
        <v>1535</v>
      </c>
      <c r="E551" s="5">
        <v>10</v>
      </c>
      <c r="F551" s="5" t="s">
        <v>1375</v>
      </c>
      <c r="G551" s="5">
        <v>1100</v>
      </c>
      <c r="H551" s="5">
        <v>7161</v>
      </c>
      <c r="I551" s="5" t="s">
        <v>826</v>
      </c>
      <c r="J551" s="5" t="str">
        <f t="shared" si="8"/>
        <v>BULK/HOSPITALS</v>
      </c>
    </row>
    <row r="552" spans="1:10" x14ac:dyDescent="0.25">
      <c r="A552" s="5">
        <v>5551</v>
      </c>
      <c r="B552" s="6">
        <v>45908</v>
      </c>
      <c r="C552" s="5" t="s">
        <v>470</v>
      </c>
      <c r="D552" s="5" t="s">
        <v>1535</v>
      </c>
      <c r="E552" s="5">
        <v>5</v>
      </c>
      <c r="F552" s="5" t="s">
        <v>1376</v>
      </c>
      <c r="G552" s="5">
        <v>20</v>
      </c>
      <c r="H552" s="5">
        <v>480.26</v>
      </c>
      <c r="I552" s="5" t="s">
        <v>1409</v>
      </c>
      <c r="J552" s="5" t="str">
        <f t="shared" si="8"/>
        <v>REGULAR</v>
      </c>
    </row>
    <row r="553" spans="1:10" x14ac:dyDescent="0.25">
      <c r="A553" s="5">
        <v>5552</v>
      </c>
      <c r="B553" s="6">
        <v>45908</v>
      </c>
      <c r="C553" s="5" t="s">
        <v>471</v>
      </c>
      <c r="D553" s="5" t="s">
        <v>1538</v>
      </c>
      <c r="E553" s="5">
        <v>2</v>
      </c>
      <c r="F553" s="5" t="s">
        <v>1377</v>
      </c>
      <c r="G553" s="5">
        <v>1</v>
      </c>
      <c r="H553" s="5">
        <v>281</v>
      </c>
      <c r="I553" s="5" t="s">
        <v>830</v>
      </c>
      <c r="J553" s="5" t="str">
        <f t="shared" si="8"/>
        <v>RETAIL</v>
      </c>
    </row>
    <row r="554" spans="1:10" x14ac:dyDescent="0.25">
      <c r="A554" s="5">
        <v>5553</v>
      </c>
      <c r="B554" s="6">
        <v>45909</v>
      </c>
      <c r="C554" s="5" t="s">
        <v>472</v>
      </c>
      <c r="D554" s="5" t="s">
        <v>1538</v>
      </c>
      <c r="E554" s="5">
        <v>2</v>
      </c>
      <c r="F554" s="5" t="s">
        <v>1378</v>
      </c>
      <c r="G554" s="5">
        <v>2</v>
      </c>
      <c r="H554" s="5">
        <v>798</v>
      </c>
      <c r="I554" s="5" t="s">
        <v>1410</v>
      </c>
      <c r="J554" s="5" t="str">
        <f t="shared" si="8"/>
        <v>RETAIL</v>
      </c>
    </row>
    <row r="555" spans="1:10" x14ac:dyDescent="0.25">
      <c r="A555" s="5">
        <v>5554</v>
      </c>
      <c r="B555" s="6">
        <v>45909</v>
      </c>
      <c r="C555" s="5" t="s">
        <v>473</v>
      </c>
      <c r="D555" s="5" t="s">
        <v>1538</v>
      </c>
      <c r="E555" s="5">
        <v>2</v>
      </c>
      <c r="F555" s="5" t="s">
        <v>1379</v>
      </c>
      <c r="G555" s="5">
        <v>2</v>
      </c>
      <c r="H555" s="5">
        <v>1130</v>
      </c>
      <c r="I555" s="5" t="s">
        <v>1411</v>
      </c>
      <c r="J555" s="5" t="str">
        <f t="shared" si="8"/>
        <v>RETAIL</v>
      </c>
    </row>
    <row r="556" spans="1:10" x14ac:dyDescent="0.25">
      <c r="A556" s="5">
        <v>5555</v>
      </c>
      <c r="B556" s="6">
        <v>45909</v>
      </c>
      <c r="C556" s="5" t="s">
        <v>474</v>
      </c>
      <c r="D556" s="5" t="s">
        <v>1538</v>
      </c>
      <c r="E556" s="5">
        <v>2</v>
      </c>
      <c r="F556" s="5" t="s">
        <v>1380</v>
      </c>
      <c r="G556" s="5">
        <v>2</v>
      </c>
      <c r="H556" s="5">
        <v>550</v>
      </c>
      <c r="I556" s="5" t="s">
        <v>1411</v>
      </c>
      <c r="J556" s="5" t="str">
        <f t="shared" si="8"/>
        <v>RETAIL</v>
      </c>
    </row>
    <row r="557" spans="1:10" x14ac:dyDescent="0.25">
      <c r="A557" s="5">
        <v>5556</v>
      </c>
      <c r="B557" s="6">
        <v>45909</v>
      </c>
      <c r="C557" s="5" t="s">
        <v>475</v>
      </c>
      <c r="D557" s="5" t="s">
        <v>1538</v>
      </c>
      <c r="E557" s="5">
        <v>2</v>
      </c>
      <c r="F557" s="5" t="s">
        <v>1304</v>
      </c>
      <c r="G557" s="5">
        <v>3</v>
      </c>
      <c r="H557" s="5">
        <v>767</v>
      </c>
      <c r="I557" s="5" t="s">
        <v>1411</v>
      </c>
      <c r="J557" s="5" t="str">
        <f t="shared" si="8"/>
        <v>REGULAR</v>
      </c>
    </row>
    <row r="558" spans="1:10" x14ac:dyDescent="0.25">
      <c r="A558" s="5">
        <v>5557</v>
      </c>
      <c r="B558" s="6">
        <v>45910</v>
      </c>
      <c r="C558" s="5" t="s">
        <v>476</v>
      </c>
      <c r="D558" s="5" t="s">
        <v>1538</v>
      </c>
      <c r="E558" s="5">
        <v>2</v>
      </c>
      <c r="F558" s="5" t="s">
        <v>1381</v>
      </c>
      <c r="G558" s="5">
        <v>2</v>
      </c>
      <c r="H558" s="5">
        <v>520</v>
      </c>
      <c r="I558" s="5" t="s">
        <v>972</v>
      </c>
      <c r="J558" s="5" t="str">
        <f t="shared" si="8"/>
        <v>RETAIL</v>
      </c>
    </row>
    <row r="559" spans="1:10" x14ac:dyDescent="0.25">
      <c r="A559" s="5">
        <v>5558</v>
      </c>
      <c r="B559" s="6">
        <v>45910</v>
      </c>
      <c r="C559" s="5" t="s">
        <v>477</v>
      </c>
      <c r="D559" s="5" t="s">
        <v>1538</v>
      </c>
      <c r="E559" s="5">
        <v>2</v>
      </c>
      <c r="F559" s="5" t="s">
        <v>1382</v>
      </c>
      <c r="G559" s="5">
        <v>1</v>
      </c>
      <c r="H559" s="5">
        <v>249</v>
      </c>
      <c r="I559" s="5" t="s">
        <v>1411</v>
      </c>
      <c r="J559" s="5" t="str">
        <f t="shared" si="8"/>
        <v>RETAIL</v>
      </c>
    </row>
    <row r="560" spans="1:10" x14ac:dyDescent="0.25">
      <c r="A560" s="5">
        <v>5559</v>
      </c>
      <c r="B560" s="6">
        <v>45910</v>
      </c>
      <c r="C560" s="5" t="s">
        <v>478</v>
      </c>
      <c r="D560" s="5" t="s">
        <v>1538</v>
      </c>
      <c r="E560" s="5">
        <v>2</v>
      </c>
      <c r="F560" s="5" t="s">
        <v>1383</v>
      </c>
      <c r="G560" s="5">
        <v>6</v>
      </c>
      <c r="H560" s="5">
        <v>1554</v>
      </c>
      <c r="I560" s="5" t="s">
        <v>1411</v>
      </c>
      <c r="J560" s="5" t="str">
        <f t="shared" si="8"/>
        <v>REGULAR</v>
      </c>
    </row>
    <row r="561" spans="1:10" x14ac:dyDescent="0.25">
      <c r="A561" s="5">
        <v>5560</v>
      </c>
      <c r="B561" s="6">
        <v>45910</v>
      </c>
      <c r="C561" s="5" t="s">
        <v>479</v>
      </c>
      <c r="D561" s="5" t="s">
        <v>1538</v>
      </c>
      <c r="E561" s="5">
        <v>2</v>
      </c>
      <c r="F561" s="5" t="s">
        <v>1384</v>
      </c>
      <c r="G561" s="5">
        <v>1</v>
      </c>
      <c r="H561" s="5">
        <v>290</v>
      </c>
      <c r="I561" s="5" t="s">
        <v>1411</v>
      </c>
      <c r="J561" s="5" t="str">
        <f t="shared" si="8"/>
        <v>RETAIL</v>
      </c>
    </row>
    <row r="562" spans="1:10" x14ac:dyDescent="0.25">
      <c r="A562" s="5">
        <v>5561</v>
      </c>
      <c r="B562" s="6">
        <v>45910</v>
      </c>
      <c r="C562" s="5" t="s">
        <v>480</v>
      </c>
      <c r="D562" s="5" t="s">
        <v>1538</v>
      </c>
      <c r="E562" s="5">
        <v>2</v>
      </c>
      <c r="F562" s="5" t="s">
        <v>1385</v>
      </c>
      <c r="G562" s="5">
        <v>3</v>
      </c>
      <c r="H562" s="5">
        <v>1249</v>
      </c>
      <c r="I562" s="5" t="s">
        <v>1411</v>
      </c>
      <c r="J562" s="5" t="str">
        <f t="shared" si="8"/>
        <v>REGULAR</v>
      </c>
    </row>
    <row r="563" spans="1:10" x14ac:dyDescent="0.25">
      <c r="A563" s="5">
        <v>5562</v>
      </c>
      <c r="B563" s="6">
        <v>45911</v>
      </c>
      <c r="C563" s="5" t="s">
        <v>481</v>
      </c>
      <c r="D563" s="5" t="s">
        <v>1535</v>
      </c>
      <c r="E563" s="5">
        <v>10</v>
      </c>
      <c r="F563" s="5" t="s">
        <v>1386</v>
      </c>
      <c r="G563" s="5">
        <v>200</v>
      </c>
      <c r="H563" s="5">
        <v>1155</v>
      </c>
      <c r="I563" s="5" t="s">
        <v>826</v>
      </c>
      <c r="J563" s="5" t="str">
        <f t="shared" si="8"/>
        <v>BULK/HOSPITALS</v>
      </c>
    </row>
    <row r="564" spans="1:10" x14ac:dyDescent="0.25">
      <c r="A564" s="5">
        <v>5563</v>
      </c>
      <c r="B564" s="6">
        <v>45911</v>
      </c>
      <c r="C564" s="5" t="s">
        <v>482</v>
      </c>
      <c r="D564" s="5" t="s">
        <v>1538</v>
      </c>
      <c r="E564" s="5">
        <v>2</v>
      </c>
      <c r="F564" s="5" t="s">
        <v>1387</v>
      </c>
      <c r="G564" s="5">
        <v>1</v>
      </c>
      <c r="H564" s="5">
        <v>160</v>
      </c>
      <c r="I564" s="5" t="s">
        <v>962</v>
      </c>
      <c r="J564" s="5" t="str">
        <f t="shared" si="8"/>
        <v>RETAIL</v>
      </c>
    </row>
    <row r="565" spans="1:10" x14ac:dyDescent="0.25">
      <c r="A565" s="5">
        <v>5564</v>
      </c>
      <c r="B565" s="6">
        <v>45911</v>
      </c>
      <c r="C565" s="5" t="s">
        <v>483</v>
      </c>
      <c r="D565" s="5" t="s">
        <v>1538</v>
      </c>
      <c r="E565" s="5">
        <v>2</v>
      </c>
      <c r="F565" s="5" t="s">
        <v>1388</v>
      </c>
      <c r="G565" s="5">
        <v>2</v>
      </c>
      <c r="H565" s="5">
        <v>300</v>
      </c>
      <c r="I565" s="5" t="s">
        <v>962</v>
      </c>
      <c r="J565" s="5" t="str">
        <f t="shared" si="8"/>
        <v>RETAIL</v>
      </c>
    </row>
    <row r="566" spans="1:10" x14ac:dyDescent="0.25">
      <c r="A566" s="5">
        <v>5565</v>
      </c>
      <c r="B566" s="6">
        <v>45912</v>
      </c>
      <c r="C566" s="5" t="s">
        <v>484</v>
      </c>
      <c r="D566" s="5" t="s">
        <v>1538</v>
      </c>
      <c r="E566" s="5">
        <v>5</v>
      </c>
      <c r="F566" s="5" t="s">
        <v>1389</v>
      </c>
      <c r="G566" s="5">
        <v>12</v>
      </c>
      <c r="H566" s="5">
        <v>1140</v>
      </c>
      <c r="I566" s="5" t="s">
        <v>1412</v>
      </c>
      <c r="J566" s="5" t="str">
        <f t="shared" si="8"/>
        <v>REGULAR</v>
      </c>
    </row>
    <row r="567" spans="1:10" x14ac:dyDescent="0.25">
      <c r="A567" s="5">
        <v>5566</v>
      </c>
      <c r="B567" s="6">
        <v>45912</v>
      </c>
      <c r="C567" s="5" t="s">
        <v>485</v>
      </c>
      <c r="D567" s="5" t="s">
        <v>1538</v>
      </c>
      <c r="E567" s="5">
        <v>2</v>
      </c>
      <c r="F567" s="5" t="s">
        <v>1390</v>
      </c>
      <c r="G567" s="5">
        <v>1</v>
      </c>
      <c r="H567" s="5">
        <v>310</v>
      </c>
      <c r="I567" s="5" t="s">
        <v>1413</v>
      </c>
      <c r="J567" s="5" t="str">
        <f t="shared" si="8"/>
        <v>RETAIL</v>
      </c>
    </row>
    <row r="568" spans="1:10" x14ac:dyDescent="0.25">
      <c r="A568" s="5">
        <v>5567</v>
      </c>
      <c r="B568" s="6">
        <v>45912</v>
      </c>
      <c r="C568" s="5" t="s">
        <v>486</v>
      </c>
      <c r="D568" s="5" t="s">
        <v>1538</v>
      </c>
      <c r="E568" s="5">
        <v>5</v>
      </c>
      <c r="F568" s="5" t="s">
        <v>1391</v>
      </c>
      <c r="G568" s="5">
        <v>12</v>
      </c>
      <c r="H568" s="5">
        <v>1140</v>
      </c>
      <c r="I568" s="5" t="s">
        <v>1412</v>
      </c>
      <c r="J568" s="5" t="str">
        <f t="shared" si="8"/>
        <v>REGULAR</v>
      </c>
    </row>
    <row r="569" spans="1:10" x14ac:dyDescent="0.25">
      <c r="A569" s="5">
        <v>5568</v>
      </c>
      <c r="B569" s="6">
        <v>45912</v>
      </c>
      <c r="C569" s="5" t="s">
        <v>487</v>
      </c>
      <c r="D569" s="5" t="s">
        <v>1538</v>
      </c>
      <c r="E569" s="5">
        <v>2</v>
      </c>
      <c r="F569" s="5" t="s">
        <v>1392</v>
      </c>
      <c r="G569" s="5">
        <v>4</v>
      </c>
      <c r="H569" s="5">
        <v>726</v>
      </c>
      <c r="I569" s="5" t="s">
        <v>979</v>
      </c>
      <c r="J569" s="5" t="str">
        <f t="shared" si="8"/>
        <v>REGULAR</v>
      </c>
    </row>
    <row r="570" spans="1:10" x14ac:dyDescent="0.25">
      <c r="A570" s="5">
        <v>5569</v>
      </c>
      <c r="B570" s="6">
        <v>45913</v>
      </c>
      <c r="C570" s="5" t="s">
        <v>488</v>
      </c>
      <c r="D570" s="5" t="s">
        <v>1538</v>
      </c>
      <c r="E570" s="5">
        <v>2</v>
      </c>
      <c r="F570" s="5" t="s">
        <v>1393</v>
      </c>
      <c r="G570" s="5">
        <v>1</v>
      </c>
      <c r="H570" s="5">
        <v>1405.31</v>
      </c>
      <c r="I570" s="5" t="s">
        <v>1414</v>
      </c>
      <c r="J570" s="5" t="str">
        <f t="shared" si="8"/>
        <v>RETAIL</v>
      </c>
    </row>
    <row r="571" spans="1:10" x14ac:dyDescent="0.25">
      <c r="A571" s="5">
        <v>5570</v>
      </c>
      <c r="B571" s="6">
        <v>45913</v>
      </c>
      <c r="C571" s="5" t="s">
        <v>489</v>
      </c>
      <c r="D571" s="5" t="s">
        <v>1538</v>
      </c>
      <c r="E571" s="5">
        <v>2</v>
      </c>
      <c r="F571" s="5" t="s">
        <v>1394</v>
      </c>
      <c r="G571" s="5">
        <v>2</v>
      </c>
      <c r="H571" s="5">
        <v>44</v>
      </c>
      <c r="I571" s="5" t="s">
        <v>1415</v>
      </c>
      <c r="J571" s="5" t="str">
        <f t="shared" si="8"/>
        <v>RETAIL</v>
      </c>
    </row>
    <row r="572" spans="1:10" x14ac:dyDescent="0.25">
      <c r="A572" s="5">
        <v>5571</v>
      </c>
      <c r="B572" s="6">
        <v>45913</v>
      </c>
      <c r="C572" s="5" t="s">
        <v>490</v>
      </c>
      <c r="D572" s="5" t="s">
        <v>1535</v>
      </c>
      <c r="E572" s="5">
        <v>5</v>
      </c>
      <c r="F572" s="5" t="s">
        <v>1416</v>
      </c>
      <c r="G572" s="5">
        <v>10</v>
      </c>
      <c r="H572" s="5">
        <v>62.65</v>
      </c>
      <c r="I572" s="5" t="s">
        <v>828</v>
      </c>
      <c r="J572" s="5" t="str">
        <f t="shared" si="8"/>
        <v>REGULAR</v>
      </c>
    </row>
    <row r="573" spans="1:10" x14ac:dyDescent="0.25">
      <c r="A573" s="5">
        <v>5572</v>
      </c>
      <c r="B573" s="6">
        <v>45913</v>
      </c>
      <c r="C573" s="5" t="s">
        <v>491</v>
      </c>
      <c r="D573" s="5" t="s">
        <v>1538</v>
      </c>
      <c r="E573" s="5">
        <v>2</v>
      </c>
      <c r="F573" s="5" t="s">
        <v>1417</v>
      </c>
      <c r="G573" s="5">
        <v>1</v>
      </c>
      <c r="H573" s="5">
        <v>149</v>
      </c>
      <c r="I573" s="5" t="s">
        <v>1061</v>
      </c>
      <c r="J573" s="5" t="str">
        <f t="shared" si="8"/>
        <v>RETAIL</v>
      </c>
    </row>
    <row r="574" spans="1:10" x14ac:dyDescent="0.25">
      <c r="A574" s="5">
        <v>5573</v>
      </c>
      <c r="B574" s="6">
        <v>45913</v>
      </c>
      <c r="C574" s="5" t="s">
        <v>492</v>
      </c>
      <c r="D574" s="5" t="s">
        <v>1538</v>
      </c>
      <c r="E574" s="5">
        <v>2</v>
      </c>
      <c r="F574" s="5" t="s">
        <v>1418</v>
      </c>
      <c r="G574" s="5">
        <v>2</v>
      </c>
      <c r="H574" s="5">
        <v>230</v>
      </c>
      <c r="I574" s="5" t="s">
        <v>895</v>
      </c>
      <c r="J574" s="5" t="str">
        <f t="shared" si="8"/>
        <v>RETAIL</v>
      </c>
    </row>
    <row r="575" spans="1:10" x14ac:dyDescent="0.25">
      <c r="A575" s="5">
        <v>5574</v>
      </c>
      <c r="B575" s="6">
        <v>45914</v>
      </c>
      <c r="C575" s="5" t="s">
        <v>493</v>
      </c>
      <c r="D575" s="5" t="s">
        <v>1538</v>
      </c>
      <c r="E575" s="5">
        <v>2</v>
      </c>
      <c r="F575" s="5" t="s">
        <v>1419</v>
      </c>
      <c r="G575" s="5">
        <v>4</v>
      </c>
      <c r="H575" s="5">
        <v>160</v>
      </c>
      <c r="I575" s="5" t="s">
        <v>1463</v>
      </c>
      <c r="J575" s="5" t="str">
        <f t="shared" si="8"/>
        <v>REGULAR</v>
      </c>
    </row>
    <row r="576" spans="1:10" x14ac:dyDescent="0.25">
      <c r="A576" s="5">
        <v>5575</v>
      </c>
      <c r="B576" s="6">
        <v>45914</v>
      </c>
      <c r="C576" s="5" t="s">
        <v>494</v>
      </c>
      <c r="D576" s="5" t="s">
        <v>1538</v>
      </c>
      <c r="E576" s="5">
        <v>2</v>
      </c>
      <c r="F576" s="5" t="s">
        <v>1419</v>
      </c>
      <c r="G576" s="5">
        <v>2</v>
      </c>
      <c r="H576" s="5">
        <v>80</v>
      </c>
      <c r="I576" s="5" t="s">
        <v>1464</v>
      </c>
      <c r="J576" s="5" t="str">
        <f t="shared" si="8"/>
        <v>RETAIL</v>
      </c>
    </row>
    <row r="577" spans="1:10" x14ac:dyDescent="0.25">
      <c r="A577" s="5">
        <v>5576</v>
      </c>
      <c r="B577" s="6">
        <v>45914</v>
      </c>
      <c r="C577" s="5" t="s">
        <v>495</v>
      </c>
      <c r="D577" s="5" t="s">
        <v>1535</v>
      </c>
      <c r="E577" s="5">
        <v>10</v>
      </c>
      <c r="F577" s="5" t="s">
        <v>1420</v>
      </c>
      <c r="G577" s="5">
        <v>1620</v>
      </c>
      <c r="H577" s="5">
        <v>3414.18</v>
      </c>
      <c r="I577" s="5" t="s">
        <v>826</v>
      </c>
      <c r="J577" s="5" t="str">
        <f t="shared" si="8"/>
        <v>BULK/HOSPITALS</v>
      </c>
    </row>
    <row r="578" spans="1:10" x14ac:dyDescent="0.25">
      <c r="A578" s="5">
        <v>5577</v>
      </c>
      <c r="B578" s="6">
        <v>45915</v>
      </c>
      <c r="C578" s="5" t="s">
        <v>496</v>
      </c>
      <c r="D578" s="5" t="s">
        <v>1535</v>
      </c>
      <c r="E578" s="5">
        <v>10</v>
      </c>
      <c r="F578" s="5" t="s">
        <v>1421</v>
      </c>
      <c r="G578" s="5">
        <v>702</v>
      </c>
      <c r="H578" s="5">
        <v>5315.88</v>
      </c>
      <c r="I578" s="5" t="s">
        <v>826</v>
      </c>
      <c r="J578" s="5" t="str">
        <f t="shared" si="8"/>
        <v>BULK/HOSPITALS</v>
      </c>
    </row>
    <row r="579" spans="1:10" x14ac:dyDescent="0.25">
      <c r="A579" s="5">
        <v>5578</v>
      </c>
      <c r="B579" s="6">
        <v>45915</v>
      </c>
      <c r="C579" s="5" t="s">
        <v>497</v>
      </c>
      <c r="D579" s="5" t="s">
        <v>1535</v>
      </c>
      <c r="E579" s="5">
        <v>10</v>
      </c>
      <c r="F579" s="5" t="s">
        <v>1422</v>
      </c>
      <c r="G579" s="5">
        <v>380</v>
      </c>
      <c r="H579" s="5">
        <v>1444</v>
      </c>
      <c r="I579" s="5" t="s">
        <v>971</v>
      </c>
      <c r="J579" s="5" t="str">
        <f t="shared" ref="J579:J623" si="9">IF(G579&lt;=2,"RETAIL",IF(G579&lt;=20,"REGULAR",IF(G579&gt;20,"BULK/HOSPITALS")))</f>
        <v>BULK/HOSPITALS</v>
      </c>
    </row>
    <row r="580" spans="1:10" x14ac:dyDescent="0.25">
      <c r="A580" s="5">
        <v>5579</v>
      </c>
      <c r="B580" s="6">
        <v>45915</v>
      </c>
      <c r="C580" s="5" t="s">
        <v>498</v>
      </c>
      <c r="D580" s="5" t="s">
        <v>1538</v>
      </c>
      <c r="E580" s="5">
        <v>2</v>
      </c>
      <c r="F580" s="5" t="s">
        <v>1423</v>
      </c>
      <c r="G580" s="5">
        <v>2</v>
      </c>
      <c r="H580" s="5">
        <v>1046</v>
      </c>
      <c r="I580" s="5" t="s">
        <v>1465</v>
      </c>
      <c r="J580" s="5" t="str">
        <f t="shared" si="9"/>
        <v>RETAIL</v>
      </c>
    </row>
    <row r="581" spans="1:10" x14ac:dyDescent="0.25">
      <c r="A581" s="5">
        <v>5580</v>
      </c>
      <c r="B581" s="6">
        <v>45915</v>
      </c>
      <c r="C581" s="5" t="s">
        <v>499</v>
      </c>
      <c r="D581" s="5" t="s">
        <v>1538</v>
      </c>
      <c r="E581" s="5">
        <v>2</v>
      </c>
      <c r="F581" s="5" t="s">
        <v>1424</v>
      </c>
      <c r="G581" s="5">
        <v>1</v>
      </c>
      <c r="H581" s="5">
        <v>204.38</v>
      </c>
      <c r="I581" s="5" t="s">
        <v>1466</v>
      </c>
      <c r="J581" s="5" t="str">
        <f t="shared" si="9"/>
        <v>RETAIL</v>
      </c>
    </row>
    <row r="582" spans="1:10" x14ac:dyDescent="0.25">
      <c r="A582" s="5">
        <v>5581</v>
      </c>
      <c r="B582" s="6">
        <v>45916</v>
      </c>
      <c r="C582" s="5" t="s">
        <v>500</v>
      </c>
      <c r="D582" s="5" t="s">
        <v>1538</v>
      </c>
      <c r="E582" s="5">
        <v>5</v>
      </c>
      <c r="F582" s="5" t="s">
        <v>1425</v>
      </c>
      <c r="G582" s="5">
        <v>20</v>
      </c>
      <c r="H582" s="5">
        <v>64.3</v>
      </c>
      <c r="I582" s="5" t="s">
        <v>1467</v>
      </c>
      <c r="J582" s="5" t="str">
        <f t="shared" si="9"/>
        <v>REGULAR</v>
      </c>
    </row>
    <row r="583" spans="1:10" x14ac:dyDescent="0.25">
      <c r="A583" s="5">
        <v>5582</v>
      </c>
      <c r="B583" s="6">
        <v>45916</v>
      </c>
      <c r="C583" s="5" t="s">
        <v>501</v>
      </c>
      <c r="D583" s="5" t="s">
        <v>1538</v>
      </c>
      <c r="E583" s="5">
        <v>2</v>
      </c>
      <c r="F583" s="5" t="s">
        <v>1426</v>
      </c>
      <c r="G583" s="5">
        <v>6</v>
      </c>
      <c r="H583" s="5">
        <v>26.12</v>
      </c>
      <c r="I583" s="5" t="s">
        <v>1468</v>
      </c>
      <c r="J583" s="5" t="str">
        <f t="shared" si="9"/>
        <v>REGULAR</v>
      </c>
    </row>
    <row r="584" spans="1:10" x14ac:dyDescent="0.25">
      <c r="A584" s="5">
        <v>5583</v>
      </c>
      <c r="B584" s="6">
        <v>45916</v>
      </c>
      <c r="C584" s="5" t="s">
        <v>502</v>
      </c>
      <c r="D584" s="5" t="s">
        <v>1538</v>
      </c>
      <c r="E584" s="5">
        <v>2</v>
      </c>
      <c r="F584" s="5" t="s">
        <v>1427</v>
      </c>
      <c r="G584" s="5">
        <v>1</v>
      </c>
      <c r="H584" s="5">
        <v>146.4</v>
      </c>
      <c r="I584" s="5" t="s">
        <v>826</v>
      </c>
      <c r="J584" s="5" t="str">
        <f t="shared" si="9"/>
        <v>RETAIL</v>
      </c>
    </row>
    <row r="585" spans="1:10" x14ac:dyDescent="0.25">
      <c r="A585" s="5">
        <v>5584</v>
      </c>
      <c r="B585" s="6">
        <v>45918</v>
      </c>
      <c r="C585" s="5" t="s">
        <v>503</v>
      </c>
      <c r="D585" s="5" t="s">
        <v>1538</v>
      </c>
      <c r="E585" s="5">
        <v>2</v>
      </c>
      <c r="F585" s="5" t="s">
        <v>1428</v>
      </c>
      <c r="G585" s="5">
        <v>2</v>
      </c>
      <c r="H585" s="5">
        <v>394</v>
      </c>
      <c r="I585" s="5" t="s">
        <v>843</v>
      </c>
      <c r="J585" s="5" t="str">
        <f t="shared" si="9"/>
        <v>RETAIL</v>
      </c>
    </row>
    <row r="586" spans="1:10" x14ac:dyDescent="0.25">
      <c r="A586" s="5">
        <v>5585</v>
      </c>
      <c r="B586" s="6">
        <v>45918</v>
      </c>
      <c r="C586" s="5" t="s">
        <v>504</v>
      </c>
      <c r="D586" s="5" t="s">
        <v>1538</v>
      </c>
      <c r="E586" s="5">
        <v>2</v>
      </c>
      <c r="F586" s="5" t="s">
        <v>1429</v>
      </c>
      <c r="G586" s="5">
        <v>1</v>
      </c>
      <c r="H586" s="5">
        <v>90</v>
      </c>
      <c r="I586" s="5" t="s">
        <v>1172</v>
      </c>
      <c r="J586" s="5" t="str">
        <f t="shared" si="9"/>
        <v>RETAIL</v>
      </c>
    </row>
    <row r="587" spans="1:10" x14ac:dyDescent="0.25">
      <c r="A587" s="5">
        <v>5586</v>
      </c>
      <c r="B587" s="6">
        <v>45918</v>
      </c>
      <c r="C587" s="5" t="s">
        <v>505</v>
      </c>
      <c r="D587" s="5" t="s">
        <v>1538</v>
      </c>
      <c r="E587" s="5">
        <v>5</v>
      </c>
      <c r="F587" s="5" t="s">
        <v>1430</v>
      </c>
      <c r="G587" s="5">
        <v>27</v>
      </c>
      <c r="H587" s="5">
        <v>3648.85</v>
      </c>
      <c r="I587" s="5" t="s">
        <v>1469</v>
      </c>
      <c r="J587" s="5" t="str">
        <f t="shared" si="9"/>
        <v>BULK/HOSPITALS</v>
      </c>
    </row>
    <row r="588" spans="1:10" x14ac:dyDescent="0.25">
      <c r="A588" s="5">
        <v>5587</v>
      </c>
      <c r="B588" s="6">
        <v>45918</v>
      </c>
      <c r="C588" s="5" t="s">
        <v>506</v>
      </c>
      <c r="D588" s="5" t="s">
        <v>1538</v>
      </c>
      <c r="E588" s="5">
        <v>2</v>
      </c>
      <c r="F588" s="5" t="s">
        <v>1431</v>
      </c>
      <c r="G588" s="5">
        <v>1</v>
      </c>
      <c r="H588" s="5">
        <v>85</v>
      </c>
      <c r="I588" s="5" t="s">
        <v>1470</v>
      </c>
      <c r="J588" s="5" t="str">
        <f t="shared" si="9"/>
        <v>RETAIL</v>
      </c>
    </row>
    <row r="589" spans="1:10" x14ac:dyDescent="0.25">
      <c r="A589" s="5">
        <v>5588</v>
      </c>
      <c r="B589" s="6">
        <v>45919</v>
      </c>
      <c r="C589" s="5" t="s">
        <v>507</v>
      </c>
      <c r="D589" s="5" t="s">
        <v>1535</v>
      </c>
      <c r="E589" s="5">
        <v>5</v>
      </c>
      <c r="F589" s="5" t="s">
        <v>1432</v>
      </c>
      <c r="G589" s="5">
        <v>30</v>
      </c>
      <c r="H589" s="5">
        <v>408.39</v>
      </c>
      <c r="I589" s="5" t="s">
        <v>1471</v>
      </c>
      <c r="J589" s="5" t="str">
        <f t="shared" si="9"/>
        <v>BULK/HOSPITALS</v>
      </c>
    </row>
    <row r="590" spans="1:10" x14ac:dyDescent="0.25">
      <c r="A590" s="5">
        <v>5589</v>
      </c>
      <c r="B590" s="6">
        <v>45919</v>
      </c>
      <c r="C590" s="5" t="s">
        <v>508</v>
      </c>
      <c r="D590" s="5" t="s">
        <v>1535</v>
      </c>
      <c r="E590" s="5">
        <v>5</v>
      </c>
      <c r="F590" s="5" t="s">
        <v>1433</v>
      </c>
      <c r="G590" s="5">
        <v>15</v>
      </c>
      <c r="H590" s="5">
        <v>349.25</v>
      </c>
      <c r="I590" s="5" t="s">
        <v>1472</v>
      </c>
      <c r="J590" s="5" t="str">
        <f t="shared" si="9"/>
        <v>REGULAR</v>
      </c>
    </row>
    <row r="591" spans="1:10" x14ac:dyDescent="0.25">
      <c r="A591" s="5">
        <v>5590</v>
      </c>
      <c r="B591" s="6">
        <v>45919</v>
      </c>
      <c r="C591" s="5" t="s">
        <v>509</v>
      </c>
      <c r="D591" s="5" t="s">
        <v>1538</v>
      </c>
      <c r="E591" s="5">
        <v>5</v>
      </c>
      <c r="F591" s="5" t="s">
        <v>1434</v>
      </c>
      <c r="G591" s="5">
        <v>23</v>
      </c>
      <c r="H591" s="5">
        <v>501.86</v>
      </c>
      <c r="I591" s="5" t="s">
        <v>826</v>
      </c>
      <c r="J591" s="5" t="str">
        <f t="shared" si="9"/>
        <v>BULK/HOSPITALS</v>
      </c>
    </row>
    <row r="592" spans="1:10" x14ac:dyDescent="0.25">
      <c r="A592" s="5">
        <v>5591</v>
      </c>
      <c r="B592" s="6">
        <v>45919</v>
      </c>
      <c r="C592" s="5" t="s">
        <v>510</v>
      </c>
      <c r="D592" s="5" t="s">
        <v>1538</v>
      </c>
      <c r="E592" s="5">
        <v>2</v>
      </c>
      <c r="F592" s="5" t="s">
        <v>1435</v>
      </c>
      <c r="G592" s="5">
        <v>5</v>
      </c>
      <c r="H592" s="5">
        <v>160.19999999999999</v>
      </c>
      <c r="I592" s="5" t="s">
        <v>826</v>
      </c>
      <c r="J592" s="5" t="str">
        <f t="shared" si="9"/>
        <v>REGULAR</v>
      </c>
    </row>
    <row r="593" spans="1:10" x14ac:dyDescent="0.25">
      <c r="A593" s="5">
        <v>5592</v>
      </c>
      <c r="B593" s="6">
        <v>45919</v>
      </c>
      <c r="C593" s="5" t="s">
        <v>511</v>
      </c>
      <c r="D593" s="5" t="s">
        <v>1538</v>
      </c>
      <c r="E593" s="5">
        <v>5</v>
      </c>
      <c r="F593" s="5" t="s">
        <v>1435</v>
      </c>
      <c r="G593" s="5">
        <v>16</v>
      </c>
      <c r="H593" s="5">
        <v>512.64</v>
      </c>
      <c r="I593" s="5" t="s">
        <v>1473</v>
      </c>
      <c r="J593" s="5" t="str">
        <f t="shared" si="9"/>
        <v>REGULAR</v>
      </c>
    </row>
    <row r="594" spans="1:10" x14ac:dyDescent="0.25">
      <c r="A594" s="5">
        <v>5593</v>
      </c>
      <c r="B594" s="6">
        <v>45920</v>
      </c>
      <c r="C594" s="5" t="s">
        <v>512</v>
      </c>
      <c r="D594" s="5" t="s">
        <v>1538</v>
      </c>
      <c r="E594" s="5">
        <v>2</v>
      </c>
      <c r="F594" s="5" t="s">
        <v>1435</v>
      </c>
      <c r="G594" s="5">
        <v>2</v>
      </c>
      <c r="H594" s="5">
        <v>64.08</v>
      </c>
      <c r="I594" s="5" t="s">
        <v>1473</v>
      </c>
      <c r="J594" s="5" t="str">
        <f t="shared" si="9"/>
        <v>RETAIL</v>
      </c>
    </row>
    <row r="595" spans="1:10" x14ac:dyDescent="0.25">
      <c r="A595" s="5">
        <v>5594</v>
      </c>
      <c r="B595" s="6">
        <v>45920</v>
      </c>
      <c r="C595" s="5" t="s">
        <v>513</v>
      </c>
      <c r="D595" s="5" t="s">
        <v>1538</v>
      </c>
      <c r="E595" s="5">
        <v>2</v>
      </c>
      <c r="F595" s="5" t="s">
        <v>1436</v>
      </c>
      <c r="G595" s="5">
        <v>2</v>
      </c>
      <c r="H595" s="5">
        <v>234.92</v>
      </c>
      <c r="I595" s="5" t="s">
        <v>1474</v>
      </c>
      <c r="J595" s="5" t="str">
        <f t="shared" si="9"/>
        <v>RETAIL</v>
      </c>
    </row>
    <row r="596" spans="1:10" x14ac:dyDescent="0.25">
      <c r="A596" s="5">
        <v>5595</v>
      </c>
      <c r="B596" s="6">
        <v>45921</v>
      </c>
      <c r="C596" s="5" t="s">
        <v>514</v>
      </c>
      <c r="D596" s="5" t="s">
        <v>1538</v>
      </c>
      <c r="E596" s="5">
        <v>2</v>
      </c>
      <c r="F596" s="5" t="s">
        <v>1437</v>
      </c>
      <c r="G596" s="5">
        <v>2</v>
      </c>
      <c r="H596" s="5">
        <v>100</v>
      </c>
      <c r="I596" s="5" t="s">
        <v>1475</v>
      </c>
      <c r="J596" s="5" t="str">
        <f t="shared" si="9"/>
        <v>RETAIL</v>
      </c>
    </row>
    <row r="597" spans="1:10" x14ac:dyDescent="0.25">
      <c r="A597" s="5">
        <v>5596</v>
      </c>
      <c r="B597" s="6">
        <v>45921</v>
      </c>
      <c r="C597" s="5" t="s">
        <v>515</v>
      </c>
      <c r="D597" s="5" t="s">
        <v>1538</v>
      </c>
      <c r="E597" s="5">
        <v>2</v>
      </c>
      <c r="F597" s="5" t="s">
        <v>1438</v>
      </c>
      <c r="G597" s="5">
        <v>2</v>
      </c>
      <c r="H597" s="5">
        <v>399</v>
      </c>
      <c r="I597" s="5" t="s">
        <v>1476</v>
      </c>
      <c r="J597" s="5" t="str">
        <f t="shared" si="9"/>
        <v>RETAIL</v>
      </c>
    </row>
    <row r="598" spans="1:10" x14ac:dyDescent="0.25">
      <c r="A598" s="5">
        <v>5597</v>
      </c>
      <c r="B598" s="6">
        <v>45921</v>
      </c>
      <c r="C598" s="5" t="s">
        <v>516</v>
      </c>
      <c r="D598" s="5" t="s">
        <v>1538</v>
      </c>
      <c r="E598" s="5">
        <v>2</v>
      </c>
      <c r="F598" s="5" t="s">
        <v>1439</v>
      </c>
      <c r="G598" s="5">
        <v>2</v>
      </c>
      <c r="H598" s="5">
        <v>257.68</v>
      </c>
      <c r="I598" s="5" t="s">
        <v>822</v>
      </c>
      <c r="J598" s="5" t="str">
        <f t="shared" si="9"/>
        <v>RETAIL</v>
      </c>
    </row>
    <row r="599" spans="1:10" x14ac:dyDescent="0.25">
      <c r="A599" s="5">
        <v>5598</v>
      </c>
      <c r="B599" s="6">
        <v>45921</v>
      </c>
      <c r="C599" s="5" t="s">
        <v>517</v>
      </c>
      <c r="D599" s="5" t="s">
        <v>1538</v>
      </c>
      <c r="E599" s="5">
        <v>2</v>
      </c>
      <c r="F599" s="5" t="s">
        <v>1272</v>
      </c>
      <c r="G599" s="5">
        <v>1</v>
      </c>
      <c r="H599" s="5">
        <v>350</v>
      </c>
      <c r="I599" s="5" t="s">
        <v>1477</v>
      </c>
      <c r="J599" s="5" t="str">
        <f t="shared" si="9"/>
        <v>RETAIL</v>
      </c>
    </row>
    <row r="600" spans="1:10" x14ac:dyDescent="0.25">
      <c r="A600" s="5">
        <v>5599</v>
      </c>
      <c r="B600" s="6">
        <v>45922</v>
      </c>
      <c r="C600" s="5" t="s">
        <v>518</v>
      </c>
      <c r="D600" s="5" t="s">
        <v>1538</v>
      </c>
      <c r="E600" s="5">
        <v>2</v>
      </c>
      <c r="F600" s="5" t="s">
        <v>1440</v>
      </c>
      <c r="G600" s="5">
        <v>1</v>
      </c>
      <c r="H600" s="5">
        <v>47.71</v>
      </c>
      <c r="I600" s="5" t="s">
        <v>1477</v>
      </c>
      <c r="J600" s="5" t="str">
        <f t="shared" si="9"/>
        <v>RETAIL</v>
      </c>
    </row>
    <row r="601" spans="1:10" x14ac:dyDescent="0.25">
      <c r="A601" s="5">
        <v>5600</v>
      </c>
      <c r="B601" s="6">
        <v>45922</v>
      </c>
      <c r="C601" s="5" t="s">
        <v>519</v>
      </c>
      <c r="D601" s="5" t="s">
        <v>1535</v>
      </c>
      <c r="E601" s="5">
        <v>10</v>
      </c>
      <c r="F601" s="5" t="s">
        <v>1441</v>
      </c>
      <c r="G601" s="5">
        <v>300</v>
      </c>
      <c r="H601" s="5">
        <v>6420</v>
      </c>
      <c r="I601" s="5" t="s">
        <v>1478</v>
      </c>
      <c r="J601" s="5" t="str">
        <f t="shared" si="9"/>
        <v>BULK/HOSPITALS</v>
      </c>
    </row>
    <row r="602" spans="1:10" x14ac:dyDescent="0.25">
      <c r="A602" s="5">
        <v>5601</v>
      </c>
      <c r="B602" s="6">
        <v>45923</v>
      </c>
      <c r="C602" s="5" t="s">
        <v>520</v>
      </c>
      <c r="D602" s="5" t="s">
        <v>1535</v>
      </c>
      <c r="E602" s="5">
        <v>10</v>
      </c>
      <c r="F602" s="5" t="s">
        <v>1442</v>
      </c>
      <c r="G602" s="5">
        <v>133</v>
      </c>
      <c r="H602" s="5">
        <v>3004.28</v>
      </c>
      <c r="I602" s="5" t="s">
        <v>1479</v>
      </c>
      <c r="J602" s="5" t="str">
        <f t="shared" si="9"/>
        <v>BULK/HOSPITALS</v>
      </c>
    </row>
    <row r="603" spans="1:10" x14ac:dyDescent="0.25">
      <c r="A603" s="5">
        <v>5602</v>
      </c>
      <c r="B603" s="6">
        <v>45923</v>
      </c>
      <c r="C603" s="5" t="s">
        <v>521</v>
      </c>
      <c r="D603" s="5" t="s">
        <v>1538</v>
      </c>
      <c r="E603" s="5">
        <v>7</v>
      </c>
      <c r="F603" s="5" t="s">
        <v>1443</v>
      </c>
      <c r="G603" s="5">
        <v>70</v>
      </c>
      <c r="H603" s="5">
        <v>1249.99</v>
      </c>
      <c r="I603" s="5" t="s">
        <v>1480</v>
      </c>
      <c r="J603" s="5" t="str">
        <f t="shared" si="9"/>
        <v>BULK/HOSPITALS</v>
      </c>
    </row>
    <row r="604" spans="1:10" x14ac:dyDescent="0.25">
      <c r="A604" s="5">
        <v>5603</v>
      </c>
      <c r="B604" s="6">
        <v>45923</v>
      </c>
      <c r="C604" s="5" t="s">
        <v>522</v>
      </c>
      <c r="D604" s="5" t="s">
        <v>1535</v>
      </c>
      <c r="E604" s="5">
        <v>5</v>
      </c>
      <c r="F604" s="5" t="s">
        <v>1444</v>
      </c>
      <c r="G604" s="5">
        <v>10</v>
      </c>
      <c r="H604" s="5">
        <v>134.25</v>
      </c>
      <c r="I604" s="5" t="s">
        <v>1481</v>
      </c>
      <c r="J604" s="5" t="str">
        <f t="shared" si="9"/>
        <v>REGULAR</v>
      </c>
    </row>
    <row r="605" spans="1:10" x14ac:dyDescent="0.25">
      <c r="A605" s="5">
        <v>5604</v>
      </c>
      <c r="B605" s="6">
        <v>45924</v>
      </c>
      <c r="C605" s="5" t="s">
        <v>523</v>
      </c>
      <c r="D605" s="5" t="s">
        <v>1535</v>
      </c>
      <c r="E605" s="5">
        <v>5</v>
      </c>
      <c r="F605" s="5" t="s">
        <v>1445</v>
      </c>
      <c r="G605" s="5">
        <v>10</v>
      </c>
      <c r="H605" s="5">
        <v>248.44</v>
      </c>
      <c r="I605" s="5" t="s">
        <v>1481</v>
      </c>
      <c r="J605" s="5" t="str">
        <f t="shared" si="9"/>
        <v>REGULAR</v>
      </c>
    </row>
    <row r="606" spans="1:10" x14ac:dyDescent="0.25">
      <c r="A606" s="5">
        <v>5605</v>
      </c>
      <c r="B606" s="6">
        <v>45924</v>
      </c>
      <c r="C606" s="5" t="s">
        <v>524</v>
      </c>
      <c r="D606" s="5" t="s">
        <v>1535</v>
      </c>
      <c r="E606" s="5">
        <v>5</v>
      </c>
      <c r="F606" s="5" t="s">
        <v>1446</v>
      </c>
      <c r="G606" s="5">
        <v>30</v>
      </c>
      <c r="H606" s="5">
        <v>144</v>
      </c>
      <c r="I606" s="5" t="s">
        <v>1482</v>
      </c>
      <c r="J606" s="5" t="str">
        <f t="shared" si="9"/>
        <v>BULK/HOSPITALS</v>
      </c>
    </row>
    <row r="607" spans="1:10" x14ac:dyDescent="0.25">
      <c r="A607" s="5">
        <v>5606</v>
      </c>
      <c r="B607" s="6">
        <v>45924</v>
      </c>
      <c r="C607" s="5" t="s">
        <v>525</v>
      </c>
      <c r="D607" s="5" t="s">
        <v>1535</v>
      </c>
      <c r="E607" s="5">
        <v>5</v>
      </c>
      <c r="F607" s="5" t="s">
        <v>1447</v>
      </c>
      <c r="G607" s="5">
        <v>49</v>
      </c>
      <c r="H607" s="5">
        <v>599.54</v>
      </c>
      <c r="I607" s="5" t="s">
        <v>867</v>
      </c>
      <c r="J607" s="5" t="str">
        <f t="shared" si="9"/>
        <v>BULK/HOSPITALS</v>
      </c>
    </row>
    <row r="608" spans="1:10" x14ac:dyDescent="0.25">
      <c r="A608" s="5">
        <v>5607</v>
      </c>
      <c r="B608" s="6">
        <v>45924</v>
      </c>
      <c r="C608" s="5" t="s">
        <v>526</v>
      </c>
      <c r="D608" s="5" t="s">
        <v>1538</v>
      </c>
      <c r="E608" s="5">
        <v>7</v>
      </c>
      <c r="F608" s="5" t="s">
        <v>1448</v>
      </c>
      <c r="G608" s="5">
        <v>86</v>
      </c>
      <c r="H608" s="5">
        <v>1456.25</v>
      </c>
      <c r="I608" s="5" t="s">
        <v>867</v>
      </c>
      <c r="J608" s="5" t="str">
        <f t="shared" si="9"/>
        <v>BULK/HOSPITALS</v>
      </c>
    </row>
    <row r="609" spans="1:10" x14ac:dyDescent="0.25">
      <c r="A609" s="5">
        <v>5608</v>
      </c>
      <c r="B609" s="6">
        <v>45925</v>
      </c>
      <c r="C609" s="5" t="s">
        <v>527</v>
      </c>
      <c r="D609" s="5" t="s">
        <v>1539</v>
      </c>
      <c r="E609" s="5">
        <v>2</v>
      </c>
      <c r="F609" s="5" t="s">
        <v>1449</v>
      </c>
      <c r="G609" s="5">
        <v>2</v>
      </c>
      <c r="H609" s="5">
        <v>113</v>
      </c>
      <c r="I609" s="5" t="s">
        <v>1483</v>
      </c>
      <c r="J609" s="5" t="str">
        <f t="shared" si="9"/>
        <v>RETAIL</v>
      </c>
    </row>
    <row r="610" spans="1:10" x14ac:dyDescent="0.25">
      <c r="A610" s="5">
        <v>5609</v>
      </c>
      <c r="B610" s="6">
        <v>45925</v>
      </c>
      <c r="C610" s="5" t="s">
        <v>528</v>
      </c>
      <c r="D610" s="5" t="s">
        <v>1538</v>
      </c>
      <c r="E610" s="5">
        <v>10</v>
      </c>
      <c r="F610" s="5" t="s">
        <v>1450</v>
      </c>
      <c r="G610" s="5">
        <v>100</v>
      </c>
      <c r="H610" s="5">
        <v>2169.3000000000002</v>
      </c>
      <c r="I610" s="5" t="s">
        <v>1484</v>
      </c>
      <c r="J610" s="5" t="str">
        <f t="shared" si="9"/>
        <v>BULK/HOSPITALS</v>
      </c>
    </row>
    <row r="611" spans="1:10" x14ac:dyDescent="0.25">
      <c r="A611" s="5">
        <v>5610</v>
      </c>
      <c r="B611" s="6">
        <v>45925</v>
      </c>
      <c r="C611" s="5" t="s">
        <v>529</v>
      </c>
      <c r="D611" s="5" t="s">
        <v>1538</v>
      </c>
      <c r="E611" s="5">
        <v>10</v>
      </c>
      <c r="F611" s="5" t="s">
        <v>1451</v>
      </c>
      <c r="G611" s="5">
        <v>100</v>
      </c>
      <c r="H611" s="5">
        <v>4339.1000000000004</v>
      </c>
      <c r="I611" s="5" t="s">
        <v>1484</v>
      </c>
      <c r="J611" s="5" t="str">
        <f t="shared" si="9"/>
        <v>BULK/HOSPITALS</v>
      </c>
    </row>
    <row r="612" spans="1:10" x14ac:dyDescent="0.25">
      <c r="A612" s="5">
        <v>5611</v>
      </c>
      <c r="B612" s="6">
        <v>45925</v>
      </c>
      <c r="C612" s="5" t="s">
        <v>530</v>
      </c>
      <c r="D612" s="5" t="s">
        <v>1535</v>
      </c>
      <c r="E612" s="5">
        <v>5</v>
      </c>
      <c r="F612" s="5" t="s">
        <v>1452</v>
      </c>
      <c r="G612" s="5">
        <v>48</v>
      </c>
      <c r="H612" s="5">
        <v>573.76</v>
      </c>
      <c r="I612" s="5" t="s">
        <v>1485</v>
      </c>
      <c r="J612" s="5" t="str">
        <f t="shared" si="9"/>
        <v>BULK/HOSPITALS</v>
      </c>
    </row>
    <row r="613" spans="1:10" x14ac:dyDescent="0.25">
      <c r="A613" s="5">
        <v>5612</v>
      </c>
      <c r="B613" s="6">
        <v>45925</v>
      </c>
      <c r="C613" s="5" t="s">
        <v>531</v>
      </c>
      <c r="D613" s="5" t="s">
        <v>1538</v>
      </c>
      <c r="E613" s="5">
        <v>2</v>
      </c>
      <c r="F613" s="5" t="s">
        <v>1453</v>
      </c>
      <c r="G613" s="5">
        <v>1</v>
      </c>
      <c r="H613" s="5">
        <v>235</v>
      </c>
      <c r="I613" s="5" t="s">
        <v>1486</v>
      </c>
      <c r="J613" s="5" t="str">
        <f t="shared" si="9"/>
        <v>RETAIL</v>
      </c>
    </row>
    <row r="614" spans="1:10" x14ac:dyDescent="0.25">
      <c r="A614" s="5">
        <v>5613</v>
      </c>
      <c r="B614" s="6">
        <v>45926</v>
      </c>
      <c r="C614" s="5" t="s">
        <v>532</v>
      </c>
      <c r="D614" s="5" t="s">
        <v>1538</v>
      </c>
      <c r="E614" s="5">
        <v>5</v>
      </c>
      <c r="F614" s="5" t="s">
        <v>1454</v>
      </c>
      <c r="G614" s="5">
        <v>15</v>
      </c>
      <c r="H614" s="5">
        <v>180.5</v>
      </c>
      <c r="I614" s="5" t="s">
        <v>1292</v>
      </c>
      <c r="J614" s="5" t="str">
        <f t="shared" si="9"/>
        <v>REGULAR</v>
      </c>
    </row>
    <row r="615" spans="1:10" x14ac:dyDescent="0.25">
      <c r="A615" s="5">
        <v>5614</v>
      </c>
      <c r="B615" s="6">
        <v>45926</v>
      </c>
      <c r="C615" s="5" t="s">
        <v>533</v>
      </c>
      <c r="D615" s="5" t="s">
        <v>1535</v>
      </c>
      <c r="E615" s="5">
        <v>5</v>
      </c>
      <c r="F615" s="5" t="s">
        <v>1455</v>
      </c>
      <c r="G615" s="5">
        <v>10</v>
      </c>
      <c r="H615" s="5">
        <v>163.9</v>
      </c>
      <c r="I615" s="5" t="s">
        <v>826</v>
      </c>
      <c r="J615" s="5" t="str">
        <f t="shared" si="9"/>
        <v>REGULAR</v>
      </c>
    </row>
    <row r="616" spans="1:10" x14ac:dyDescent="0.25">
      <c r="A616" s="5">
        <v>5615</v>
      </c>
      <c r="B616" s="6">
        <v>45926</v>
      </c>
      <c r="C616" s="5" t="s">
        <v>534</v>
      </c>
      <c r="D616" s="5" t="s">
        <v>1538</v>
      </c>
      <c r="E616" s="5">
        <v>2</v>
      </c>
      <c r="F616" s="5" t="s">
        <v>1456</v>
      </c>
      <c r="G616" s="5">
        <v>1</v>
      </c>
      <c r="H616" s="5">
        <v>54</v>
      </c>
      <c r="I616" s="5" t="s">
        <v>1487</v>
      </c>
      <c r="J616" s="5" t="str">
        <f t="shared" si="9"/>
        <v>RETAIL</v>
      </c>
    </row>
    <row r="617" spans="1:10" x14ac:dyDescent="0.25">
      <c r="A617" s="5">
        <v>5616</v>
      </c>
      <c r="B617" s="6">
        <v>45927</v>
      </c>
      <c r="C617" s="5" t="s">
        <v>535</v>
      </c>
      <c r="D617" s="5" t="s">
        <v>1538</v>
      </c>
      <c r="E617" s="5">
        <v>2</v>
      </c>
      <c r="F617" s="5" t="s">
        <v>1457</v>
      </c>
      <c r="G617" s="5">
        <v>1</v>
      </c>
      <c r="H617" s="5">
        <v>56</v>
      </c>
      <c r="I617" s="5" t="s">
        <v>1488</v>
      </c>
      <c r="J617" s="5" t="str">
        <f t="shared" si="9"/>
        <v>RETAIL</v>
      </c>
    </row>
    <row r="618" spans="1:10" x14ac:dyDescent="0.25">
      <c r="A618" s="5">
        <v>5617</v>
      </c>
      <c r="B618" s="6">
        <v>45927</v>
      </c>
      <c r="C618" s="5" t="s">
        <v>536</v>
      </c>
      <c r="D618" s="5" t="s">
        <v>1538</v>
      </c>
      <c r="E618" s="5">
        <v>2</v>
      </c>
      <c r="F618" s="5" t="s">
        <v>1458</v>
      </c>
      <c r="G618" s="5">
        <v>2</v>
      </c>
      <c r="H618" s="5">
        <v>220</v>
      </c>
      <c r="I618" s="5" t="s">
        <v>1488</v>
      </c>
      <c r="J618" s="5" t="str">
        <f t="shared" si="9"/>
        <v>RETAIL</v>
      </c>
    </row>
    <row r="619" spans="1:10" x14ac:dyDescent="0.25">
      <c r="A619" s="5">
        <v>5618</v>
      </c>
      <c r="B619" s="6">
        <v>45927</v>
      </c>
      <c r="C619" s="5" t="s">
        <v>537</v>
      </c>
      <c r="D619" s="5" t="s">
        <v>1538</v>
      </c>
      <c r="E619" s="5">
        <v>2</v>
      </c>
      <c r="F619" s="5" t="s">
        <v>1459</v>
      </c>
      <c r="G619" s="5">
        <v>1</v>
      </c>
      <c r="H619" s="5">
        <v>210</v>
      </c>
      <c r="I619" s="5" t="s">
        <v>1488</v>
      </c>
      <c r="J619" s="5" t="str">
        <f t="shared" si="9"/>
        <v>RETAIL</v>
      </c>
    </row>
    <row r="620" spans="1:10" x14ac:dyDescent="0.25">
      <c r="A620" s="5">
        <v>5619</v>
      </c>
      <c r="B620" s="6">
        <v>45927</v>
      </c>
      <c r="C620" s="5" t="s">
        <v>538</v>
      </c>
      <c r="D620" s="5" t="s">
        <v>1538</v>
      </c>
      <c r="E620" s="5">
        <v>2</v>
      </c>
      <c r="F620" s="5" t="s">
        <v>926</v>
      </c>
      <c r="G620" s="5">
        <v>2</v>
      </c>
      <c r="H620" s="5">
        <v>200</v>
      </c>
      <c r="I620" s="5" t="s">
        <v>870</v>
      </c>
      <c r="J620" s="5" t="str">
        <f t="shared" si="9"/>
        <v>RETAIL</v>
      </c>
    </row>
    <row r="621" spans="1:10" x14ac:dyDescent="0.25">
      <c r="A621" s="5">
        <v>5620</v>
      </c>
      <c r="B621" s="6">
        <v>45928</v>
      </c>
      <c r="C621" s="5" t="s">
        <v>539</v>
      </c>
      <c r="D621" s="5" t="s">
        <v>1538</v>
      </c>
      <c r="E621" s="5">
        <v>2</v>
      </c>
      <c r="F621" s="5" t="s">
        <v>1460</v>
      </c>
      <c r="G621" s="5">
        <v>1</v>
      </c>
      <c r="H621" s="5">
        <v>221.57</v>
      </c>
      <c r="I621" s="5" t="s">
        <v>822</v>
      </c>
      <c r="J621" s="5" t="str">
        <f t="shared" si="9"/>
        <v>RETAIL</v>
      </c>
    </row>
    <row r="622" spans="1:10" x14ac:dyDescent="0.25">
      <c r="A622" s="5">
        <v>5621</v>
      </c>
      <c r="B622" s="6">
        <v>45928</v>
      </c>
      <c r="C622" s="5" t="s">
        <v>540</v>
      </c>
      <c r="D622" s="5" t="s">
        <v>1535</v>
      </c>
      <c r="E622" s="5">
        <v>10</v>
      </c>
      <c r="F622" s="5" t="s">
        <v>1461</v>
      </c>
      <c r="G622" s="5">
        <v>120</v>
      </c>
      <c r="H622" s="5">
        <v>1434.39</v>
      </c>
      <c r="I622" s="5" t="s">
        <v>1489</v>
      </c>
      <c r="J622" s="5" t="str">
        <f t="shared" si="9"/>
        <v>BULK/HOSPITALS</v>
      </c>
    </row>
    <row r="623" spans="1:10" x14ac:dyDescent="0.25">
      <c r="A623" s="5">
        <v>5622</v>
      </c>
      <c r="B623" s="6">
        <v>45928</v>
      </c>
      <c r="C623" s="5" t="s">
        <v>541</v>
      </c>
      <c r="D623" s="5" t="s">
        <v>1535</v>
      </c>
      <c r="E623" s="5">
        <v>5</v>
      </c>
      <c r="F623" s="5" t="s">
        <v>1462</v>
      </c>
      <c r="G623" s="5">
        <v>36</v>
      </c>
      <c r="H623" s="5">
        <v>421.31</v>
      </c>
      <c r="I623" s="5" t="s">
        <v>1490</v>
      </c>
      <c r="J623" s="5" t="str">
        <f t="shared" si="9"/>
        <v>BULK/HOSPITALS</v>
      </c>
    </row>
    <row r="624" spans="1:10" x14ac:dyDescent="0.25">
      <c r="B624" s="1"/>
    </row>
    <row r="625" spans="2:7" x14ac:dyDescent="0.25">
      <c r="B625" s="1"/>
    </row>
    <row r="626" spans="2:7" x14ac:dyDescent="0.25">
      <c r="B626" s="1"/>
      <c r="F626">
        <f>SUM(G:G)</f>
        <v>703032.58000000054</v>
      </c>
      <c r="G626">
        <f>SUM(H:H)</f>
        <v>677427.58000000054</v>
      </c>
    </row>
    <row r="627" spans="2:7" x14ac:dyDescent="0.25">
      <c r="B627" s="1"/>
    </row>
    <row r="628" spans="2:7" x14ac:dyDescent="0.25">
      <c r="B628" s="1"/>
    </row>
    <row r="629" spans="2:7" x14ac:dyDescent="0.25">
      <c r="B629" s="1"/>
    </row>
    <row r="630" spans="2:7" x14ac:dyDescent="0.25">
      <c r="B630" s="1"/>
    </row>
    <row r="631" spans="2:7" x14ac:dyDescent="0.25">
      <c r="B631" s="1"/>
    </row>
    <row r="632" spans="2:7" x14ac:dyDescent="0.25">
      <c r="B632" s="1"/>
    </row>
    <row r="633" spans="2:7" x14ac:dyDescent="0.25">
      <c r="B633" s="1"/>
    </row>
    <row r="634" spans="2:7" x14ac:dyDescent="0.25">
      <c r="B634" s="1"/>
    </row>
    <row r="635" spans="2:7" x14ac:dyDescent="0.25">
      <c r="B635" s="1"/>
    </row>
    <row r="636" spans="2:7" x14ac:dyDescent="0.25">
      <c r="B636" s="1"/>
    </row>
    <row r="637" spans="2:7" x14ac:dyDescent="0.25">
      <c r="B637" s="1"/>
    </row>
    <row r="638" spans="2:7" x14ac:dyDescent="0.25">
      <c r="B638" s="1"/>
    </row>
    <row r="639" spans="2:7" x14ac:dyDescent="0.25">
      <c r="B639" s="1"/>
    </row>
    <row r="640" spans="2:7" x14ac:dyDescent="0.25">
      <c r="B640" s="1"/>
    </row>
    <row r="641" spans="2:2" x14ac:dyDescent="0.25">
      <c r="B641" s="1"/>
    </row>
    <row r="642" spans="2:2" x14ac:dyDescent="0.25">
      <c r="B642" s="1"/>
    </row>
    <row r="643" spans="2:2" x14ac:dyDescent="0.25">
      <c r="B643" s="1"/>
    </row>
    <row r="644" spans="2:2" x14ac:dyDescent="0.25">
      <c r="B644" s="1"/>
    </row>
    <row r="645" spans="2:2" x14ac:dyDescent="0.25">
      <c r="B645" s="1"/>
    </row>
    <row r="646" spans="2:2" x14ac:dyDescent="0.25">
      <c r="B646" s="1"/>
    </row>
    <row r="647" spans="2:2" x14ac:dyDescent="0.25">
      <c r="B647" s="1"/>
    </row>
    <row r="648" spans="2:2" x14ac:dyDescent="0.25">
      <c r="B648" s="1"/>
    </row>
    <row r="649" spans="2:2" x14ac:dyDescent="0.25">
      <c r="B649" s="1"/>
    </row>
    <row r="650" spans="2:2" x14ac:dyDescent="0.25">
      <c r="B650" s="1"/>
    </row>
    <row r="651" spans="2:2" x14ac:dyDescent="0.25">
      <c r="B651" s="1"/>
    </row>
    <row r="652" spans="2:2" x14ac:dyDescent="0.25">
      <c r="B652" s="1"/>
    </row>
    <row r="653" spans="2:2" x14ac:dyDescent="0.25">
      <c r="B653" s="1"/>
    </row>
    <row r="654" spans="2:2" x14ac:dyDescent="0.25">
      <c r="B654" s="1"/>
    </row>
    <row r="655" spans="2:2" x14ac:dyDescent="0.25">
      <c r="B655" s="1"/>
    </row>
    <row r="656" spans="2:2" x14ac:dyDescent="0.25">
      <c r="B656" s="1"/>
    </row>
    <row r="657" spans="2:2" x14ac:dyDescent="0.25">
      <c r="B657" s="1"/>
    </row>
    <row r="658" spans="2:2" x14ac:dyDescent="0.25">
      <c r="B658" s="1"/>
    </row>
    <row r="659" spans="2:2" x14ac:dyDescent="0.25">
      <c r="B659" s="1"/>
    </row>
    <row r="660" spans="2:2" x14ac:dyDescent="0.25">
      <c r="B660" s="1"/>
    </row>
    <row r="661" spans="2:2" x14ac:dyDescent="0.25">
      <c r="B661" s="1"/>
    </row>
    <row r="662" spans="2:2" x14ac:dyDescent="0.25">
      <c r="B662" s="1"/>
    </row>
    <row r="663" spans="2:2" x14ac:dyDescent="0.25">
      <c r="B663" s="1"/>
    </row>
    <row r="664" spans="2:2" x14ac:dyDescent="0.25">
      <c r="B664" s="1"/>
    </row>
    <row r="665" spans="2:2" x14ac:dyDescent="0.25">
      <c r="B665" s="1"/>
    </row>
    <row r="666" spans="2:2" x14ac:dyDescent="0.25">
      <c r="B666" s="1"/>
    </row>
    <row r="667" spans="2:2" x14ac:dyDescent="0.25">
      <c r="B667" s="1"/>
    </row>
    <row r="668" spans="2:2" x14ac:dyDescent="0.25">
      <c r="B668" s="1"/>
    </row>
    <row r="669" spans="2:2" x14ac:dyDescent="0.25">
      <c r="B669" s="1"/>
    </row>
    <row r="670" spans="2:2" x14ac:dyDescent="0.25">
      <c r="B670" s="1"/>
    </row>
    <row r="671" spans="2:2" x14ac:dyDescent="0.25">
      <c r="B671" s="1"/>
    </row>
  </sheetData>
  <mergeCells count="1">
    <mergeCell ref="M9:N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dc:creator>
  <cp:lastModifiedBy>Kavya</cp:lastModifiedBy>
  <dcterms:created xsi:type="dcterms:W3CDTF">2026-02-15T13:38:03Z</dcterms:created>
  <dcterms:modified xsi:type="dcterms:W3CDTF">2026-04-01T16:33:18Z</dcterms:modified>
</cp:coreProperties>
</file>